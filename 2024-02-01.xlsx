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7c7f0727b5f5cd7/Escritorio/Semillero/"/>
    </mc:Choice>
  </mc:AlternateContent>
  <xr:revisionPtr revIDLastSave="14" documentId="13_ncr:1_{E5D6D1D5-9FF1-46E2-B431-676982354F2C}" xr6:coauthVersionLast="47" xr6:coauthVersionMax="47" xr10:uidLastSave="{739E7CBA-9F55-41A8-9845-A25CAD096D81}"/>
  <bookViews>
    <workbookView xWindow="-120" yWindow="-120" windowWidth="29040" windowHeight="15720" xr2:uid="{00000000-000D-0000-FFFF-FFFF00000000}"/>
  </bookViews>
  <sheets>
    <sheet name="PROGRAMACION SERVICIO AGUAS" sheetId="1" r:id="rId1"/>
    <sheet name="Resul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j5L2cMc/nwSD1hI3Rk4RHdh8ThpRLErTeYdJLEl8Yk="/>
    </ext>
  </extLst>
</workbook>
</file>

<file path=xl/calcChain.xml><?xml version="1.0" encoding="utf-8"?>
<calcChain xmlns="http://schemas.openxmlformats.org/spreadsheetml/2006/main">
  <c r="F18" i="2" l="1"/>
  <c r="O51" i="2"/>
  <c r="E51" i="2"/>
  <c r="N31" i="2" a="1"/>
  <c r="N31" i="2" s="1"/>
  <c r="J31" i="2" a="1"/>
  <c r="J31" i="2"/>
  <c r="N22" i="2" a="1"/>
  <c r="N22" i="2"/>
  <c r="J22" i="2" a="1"/>
  <c r="J22" i="2" s="1"/>
  <c r="P21" i="2" a="1"/>
  <c r="P21" i="2"/>
  <c r="P28" i="2" s="1"/>
  <c r="L21" i="2" a="1"/>
  <c r="L21" i="2" s="1"/>
  <c r="L28" i="2" s="1"/>
  <c r="T18" i="2"/>
  <c r="L18" i="2"/>
  <c r="V17" i="2"/>
  <c r="N17" i="2"/>
  <c r="F17" i="2"/>
  <c r="U14" i="2"/>
  <c r="U52" i="2" s="1"/>
  <c r="S14" i="2"/>
  <c r="S52" i="2" s="1"/>
  <c r="Q14" i="2"/>
  <c r="Q52" i="2" s="1"/>
  <c r="U13" i="2"/>
  <c r="U51" i="2" s="1"/>
  <c r="S13" i="2"/>
  <c r="S51" i="2" s="1"/>
  <c r="Q13" i="2"/>
  <c r="Q51" i="2" s="1"/>
  <c r="O13" i="2"/>
  <c r="M13" i="2"/>
  <c r="M51" i="2" s="1"/>
  <c r="K13" i="2"/>
  <c r="K51" i="2" s="1"/>
  <c r="I13" i="2"/>
  <c r="I51" i="2" s="1"/>
  <c r="G13" i="2"/>
  <c r="E13" i="2"/>
  <c r="U11" i="2"/>
  <c r="S11" i="2"/>
  <c r="Q11" i="2"/>
  <c r="O11" i="2"/>
  <c r="M11" i="2"/>
  <c r="K11" i="2"/>
  <c r="I11" i="2"/>
  <c r="G11" i="2"/>
  <c r="E11" i="2"/>
  <c r="U10" i="2"/>
  <c r="V18" i="2" s="1"/>
  <c r="S10" i="2"/>
  <c r="Q10" i="2"/>
  <c r="R18" i="2" s="1"/>
  <c r="O10" i="2"/>
  <c r="P18" i="2" s="1"/>
  <c r="M10" i="2"/>
  <c r="N18" i="2" s="1"/>
  <c r="K10" i="2"/>
  <c r="I10" i="2"/>
  <c r="J18" i="2" s="1"/>
  <c r="G10" i="2"/>
  <c r="H18" i="2" s="1"/>
  <c r="E10" i="2"/>
  <c r="U9" i="2"/>
  <c r="S9" i="2"/>
  <c r="T17" i="2" s="1"/>
  <c r="Q9" i="2"/>
  <c r="R17" i="2" s="1"/>
  <c r="O9" i="2"/>
  <c r="P17" i="2" s="1"/>
  <c r="M9" i="2"/>
  <c r="K9" i="2"/>
  <c r="L17" i="2" s="1"/>
  <c r="I9" i="2"/>
  <c r="J17" i="2" s="1"/>
  <c r="G9" i="2"/>
  <c r="H17" i="2" s="1"/>
  <c r="E9" i="2"/>
  <c r="U8" i="2"/>
  <c r="S8" i="2"/>
  <c r="Q8" i="2"/>
  <c r="O8" i="2"/>
  <c r="M8" i="2"/>
  <c r="K8" i="2"/>
  <c r="I8" i="2"/>
  <c r="G8" i="2"/>
  <c r="E8" i="2"/>
  <c r="T19" i="1"/>
  <c r="N19" i="1"/>
  <c r="R19" i="1" s="1"/>
  <c r="T18" i="1"/>
  <c r="N18" i="1"/>
  <c r="R18" i="1" s="1"/>
  <c r="T17" i="1"/>
  <c r="N17" i="1"/>
  <c r="R17" i="1" s="1"/>
  <c r="T16" i="1"/>
  <c r="N16" i="1"/>
  <c r="R16" i="1" s="1"/>
  <c r="T15" i="1"/>
  <c r="N15" i="1"/>
  <c r="R15" i="1" s="1"/>
  <c r="T14" i="1"/>
  <c r="N14" i="1"/>
  <c r="R14" i="1" s="1"/>
  <c r="E14" i="2" l="1"/>
  <c r="V14" i="1"/>
  <c r="I14" i="2"/>
  <c r="I52" i="2" s="1"/>
  <c r="V16" i="1"/>
  <c r="M14" i="2"/>
  <c r="M52" i="2" s="1"/>
  <c r="V18" i="1"/>
  <c r="V17" i="1"/>
  <c r="K14" i="2"/>
  <c r="K52" i="2" s="1"/>
  <c r="G14" i="2"/>
  <c r="V15" i="1"/>
  <c r="O14" i="2"/>
  <c r="O52" i="2" s="1"/>
  <c r="V19" i="1"/>
  <c r="E52" i="2" l="1"/>
  <c r="E7" i="2"/>
</calcChain>
</file>

<file path=xl/sharedStrings.xml><?xml version="1.0" encoding="utf-8"?>
<sst xmlns="http://schemas.openxmlformats.org/spreadsheetml/2006/main" count="688" uniqueCount="156">
  <si>
    <t>EMPRESA AGUAS DE FACATATIVÁ, Acueducto, Alcantarillado, Aseo y Servicios Complementarios
EAF SAS ESP</t>
  </si>
  <si>
    <r>
      <rPr>
        <b/>
        <sz val="18"/>
        <color rgb="FF000000"/>
        <rFont val="Calibri"/>
      </rPr>
      <t xml:space="preserve">TRAZABILIDAD A MUESTRAS DE AGUA QUE INGRESAN AL LABORATORIO
</t>
    </r>
    <r>
      <rPr>
        <sz val="18"/>
        <color rgb="FF000000"/>
        <rFont val="Calibri Light"/>
      </rPr>
      <t xml:space="preserve">PROCESO ACUEDUCTO
INSTRUCTIVO – TOMA, MANIPULACIÓN, TRANSPORTE, PRESERVACIÓN, CONSERVACIÓN Y DISPOSICIÓN FINAL DE ÍTEMS DE ENSAYO
</t>
    </r>
  </si>
  <si>
    <r>
      <rPr>
        <b/>
        <sz val="16"/>
        <color rgb="FF000000"/>
        <rFont val="Calibri"/>
      </rPr>
      <t xml:space="preserve">Código: </t>
    </r>
    <r>
      <rPr>
        <sz val="16"/>
        <color rgb="FF000000"/>
        <rFont val="Calibri Light"/>
      </rPr>
      <t>Ft 004-06-1604</t>
    </r>
  </si>
  <si>
    <r>
      <rPr>
        <b/>
        <sz val="16"/>
        <color rgb="FF000000"/>
        <rFont val="Calibri"/>
      </rPr>
      <t xml:space="preserve">Versión No: </t>
    </r>
    <r>
      <rPr>
        <sz val="16"/>
        <color rgb="FF000000"/>
        <rFont val="Calibri Light"/>
      </rPr>
      <t>04</t>
    </r>
  </si>
  <si>
    <r>
      <rPr>
        <b/>
        <sz val="16"/>
        <color theme="1"/>
        <rFont val="Calibri"/>
      </rPr>
      <t xml:space="preserve">Fecha de implementación:
</t>
    </r>
    <r>
      <rPr>
        <sz val="16"/>
        <color theme="1"/>
        <rFont val="Calibri Light"/>
      </rPr>
      <t>2022-11-04</t>
    </r>
  </si>
  <si>
    <r>
      <rPr>
        <b/>
        <sz val="16"/>
        <color rgb="FF000000"/>
        <rFont val="Calibri"/>
      </rPr>
      <t xml:space="preserve">No. Páginas: </t>
    </r>
    <r>
      <rPr>
        <sz val="16"/>
        <color rgb="FF000000"/>
        <rFont val="Calibri Light"/>
      </rPr>
      <t>1</t>
    </r>
  </si>
  <si>
    <t>FECHA DEL MUESTREO</t>
  </si>
  <si>
    <t>INFORMACIÓN DE LA TOMA DE LA MUESTRA</t>
  </si>
  <si>
    <t>INFORMACIÓN DE LA RECEPCIÓN DE LA MUESTRA</t>
  </si>
  <si>
    <t>INFORMACIÓN DEL ANÁLISIS DE LA MUESTRA</t>
  </si>
  <si>
    <t>ELIMINACIÓN</t>
  </si>
  <si>
    <t>CODIFICACIÓN ÍTEM DE ENSAYO</t>
  </si>
  <si>
    <t>HORA DEL MUESTREO</t>
  </si>
  <si>
    <t>TIPO DE AGUA*</t>
  </si>
  <si>
    <t>FUENTE DE ABASTECIMIENTO</t>
  </si>
  <si>
    <t>PUNTO DE TOMA - CÓDIGO (SI APLICA)</t>
  </si>
  <si>
    <t>DISPOSITIVO DE TOMA</t>
  </si>
  <si>
    <t>ANÁLISIS A REALIZAR</t>
  </si>
  <si>
    <t>RESULTADOS ANÁLISIS 
"IN SITU"</t>
  </si>
  <si>
    <t>MUESTREA</t>
  </si>
  <si>
    <t>FECHA DE RECEPCIÓN</t>
  </si>
  <si>
    <t>HORA DE RECEPCIÓN</t>
  </si>
  <si>
    <t>TEMPERATURA DE RECEPCIÓN</t>
  </si>
  <si>
    <t>RECEPCIONA</t>
  </si>
  <si>
    <t>FECHA DE ANÁLISIS</t>
  </si>
  <si>
    <t>HORA DE INICIO DE ANÁLISIS</t>
  </si>
  <si>
    <t>TEMPERATURA DE ANÁLISIS</t>
  </si>
  <si>
    <t>ANALIZA</t>
  </si>
  <si>
    <t>FECHA DE ELIMINACIÓN</t>
  </si>
  <si>
    <t>OBSERVACIÓN</t>
  </si>
  <si>
    <t>FQ</t>
  </si>
  <si>
    <t>MB</t>
  </si>
  <si>
    <r>
      <rPr>
        <b/>
        <sz val="12"/>
        <color rgb="FF000000"/>
        <rFont val="Calibri"/>
      </rPr>
      <t>Cl</t>
    </r>
    <r>
      <rPr>
        <b/>
        <vertAlign val="subscript"/>
        <sz val="12"/>
        <color rgb="FF000000"/>
        <rFont val="Calibri Light"/>
      </rPr>
      <t>2</t>
    </r>
  </si>
  <si>
    <t>pH</t>
  </si>
  <si>
    <t>°C</t>
  </si>
  <si>
    <t>I24-083</t>
  </si>
  <si>
    <t>8 h 20 min</t>
  </si>
  <si>
    <t>AP</t>
  </si>
  <si>
    <t>Planta</t>
  </si>
  <si>
    <t>-</t>
  </si>
  <si>
    <t>Manguera</t>
  </si>
  <si>
    <t>X</t>
  </si>
  <si>
    <t xml:space="preserve">Gloria Triana </t>
  </si>
  <si>
    <t>8 h 30 min</t>
  </si>
  <si>
    <t xml:space="preserve">Lina Vasquez </t>
  </si>
  <si>
    <t>8 h 35 min</t>
  </si>
  <si>
    <t>I24-084</t>
  </si>
  <si>
    <t>8 h 25 min</t>
  </si>
  <si>
    <t>ASP</t>
  </si>
  <si>
    <t>Embalse</t>
  </si>
  <si>
    <t>Canal</t>
  </si>
  <si>
    <t>R24-02-001</t>
  </si>
  <si>
    <t>Red</t>
  </si>
  <si>
    <t>Grifo</t>
  </si>
  <si>
    <t>9 h 40 min</t>
  </si>
  <si>
    <t>10 h</t>
  </si>
  <si>
    <t>R24-02-002</t>
  </si>
  <si>
    <t>14 h 15 min</t>
  </si>
  <si>
    <t>15 h 05 min</t>
  </si>
  <si>
    <t>15 h 10 min</t>
  </si>
  <si>
    <t>R24-02-003</t>
  </si>
  <si>
    <t>14 h 30 min</t>
  </si>
  <si>
    <t>R24-02-004</t>
  </si>
  <si>
    <t>14 h 50 min</t>
  </si>
  <si>
    <t>OBSERVACIONES GENERALES:</t>
  </si>
  <si>
    <t>Ninguna</t>
  </si>
  <si>
    <t xml:space="preserve">EQUIPOS Y MÉTODOS DE ANÁLISIS "IN SITU" PARA MUESTRAS DE CODIFICACIÓN RED Y/O INTERNAS: </t>
  </si>
  <si>
    <t>Cloro residual libre</t>
  </si>
  <si>
    <t>EQUIPO</t>
  </si>
  <si>
    <t>MÉTODO</t>
  </si>
  <si>
    <t>Temperatura</t>
  </si>
  <si>
    <t>COLORÍMETRO DE BOLSILLO</t>
  </si>
  <si>
    <t>COLORIMÉTRICO</t>
  </si>
  <si>
    <t xml:space="preserve">PH METRO </t>
  </si>
  <si>
    <t>ELECTROMÉTRICO</t>
  </si>
  <si>
    <t>* Convenciones: Agua potable (AP) - Agua superficial (ASP) - Agua subterránea (ASB) - Agua envasada (AE) - Agua lluvia (AL) - Otra (O)</t>
  </si>
  <si>
    <t xml:space="preserve">
EMPRESA AGUAS DE FACATATIVÁ, Acueducto, Alcantarillado, Aseo y Servicios Complementarios
EAF SAS ESP</t>
  </si>
  <si>
    <t>RESULTADOS DE ENSAYO  – LABORATORIO DE AGUAS
PROCESO ACUEDUCTO
INSTRUCTIVO – CONTROL DE LOS DATOS – LABORATORIO DE AGUAS</t>
  </si>
  <si>
    <r>
      <rPr>
        <b/>
        <sz val="10"/>
        <color theme="1"/>
        <rFont val="Calibri"/>
      </rPr>
      <t xml:space="preserve">Código: </t>
    </r>
    <r>
      <rPr>
        <sz val="10"/>
        <color theme="1"/>
        <rFont val="Calibri Light"/>
      </rPr>
      <t>Ft 004-06-1801</t>
    </r>
  </si>
  <si>
    <r>
      <rPr>
        <b/>
        <sz val="10"/>
        <color theme="1"/>
        <rFont val="Calibri"/>
      </rPr>
      <t xml:space="preserve">Versión: </t>
    </r>
    <r>
      <rPr>
        <sz val="10"/>
        <color theme="1"/>
        <rFont val="Calibri Light"/>
      </rPr>
      <t>05</t>
    </r>
  </si>
  <si>
    <r>
      <rPr>
        <b/>
        <sz val="10"/>
        <color theme="1"/>
        <rFont val="Calibri"/>
      </rPr>
      <t xml:space="preserve">Fecha de implementación:
</t>
    </r>
    <r>
      <rPr>
        <sz val="10"/>
        <color theme="1"/>
        <rFont val="Calibri Light"/>
      </rPr>
      <t>2021-08-11</t>
    </r>
  </si>
  <si>
    <r>
      <rPr>
        <b/>
        <sz val="10"/>
        <color theme="1"/>
        <rFont val="Calibri"/>
      </rPr>
      <t xml:space="preserve">N° de páginas: </t>
    </r>
    <r>
      <rPr>
        <sz val="10"/>
        <color theme="1"/>
        <rFont val="Calibri Light"/>
      </rPr>
      <t>1 de 2</t>
    </r>
  </si>
  <si>
    <t>INFORMACIÓN DE LA MUESTRA</t>
  </si>
  <si>
    <t>FECHA DE MUESTREO</t>
  </si>
  <si>
    <t>TIPO DE AGUA</t>
  </si>
  <si>
    <r>
      <rPr>
        <b/>
        <sz val="10"/>
        <color theme="1"/>
        <rFont val="Calibri"/>
      </rPr>
      <t xml:space="preserve">RESULTADOS ANÁLISIS </t>
    </r>
    <r>
      <rPr>
        <b/>
        <i/>
        <sz val="10"/>
        <color theme="1"/>
        <rFont val="Calibri Light"/>
      </rPr>
      <t>"IN SITU"</t>
    </r>
  </si>
  <si>
    <r>
      <rPr>
        <b/>
        <sz val="10"/>
        <color theme="1"/>
        <rFont val="Calibri"/>
      </rPr>
      <t>mg Cl</t>
    </r>
    <r>
      <rPr>
        <b/>
        <vertAlign val="subscript"/>
        <sz val="10"/>
        <color theme="1"/>
        <rFont val="Calibri Light"/>
      </rPr>
      <t>2</t>
    </r>
    <r>
      <rPr>
        <b/>
        <sz val="10"/>
        <color theme="1"/>
        <rFont val="Calibri Light"/>
      </rPr>
      <t>/L</t>
    </r>
  </si>
  <si>
    <t>OBSERVACIONES</t>
  </si>
  <si>
    <t>RESULTADOS DE ENSAYO - FISICOS Y QUÍMICOS</t>
  </si>
  <si>
    <t>CODIFICACIÓN</t>
  </si>
  <si>
    <t>ENSAYO</t>
  </si>
  <si>
    <t>UNIDADES</t>
  </si>
  <si>
    <t>Unidades</t>
  </si>
  <si>
    <t>Alcalinidad total</t>
  </si>
  <si>
    <t>Aluminio residual</t>
  </si>
  <si>
    <t>mg Al/L</t>
  </si>
  <si>
    <t>Calcio</t>
  </si>
  <si>
    <t>mg Ca/L</t>
  </si>
  <si>
    <t>Cloruros</t>
  </si>
  <si>
    <r>
      <rPr>
        <b/>
        <sz val="10"/>
        <color rgb="FF000000"/>
        <rFont val="Calibri"/>
      </rPr>
      <t>mg Cl</t>
    </r>
    <r>
      <rPr>
        <b/>
        <vertAlign val="superscript"/>
        <sz val="10"/>
        <color rgb="FF000000"/>
        <rFont val="Calibri Light"/>
      </rPr>
      <t>-</t>
    </r>
    <r>
      <rPr>
        <b/>
        <sz val="10"/>
        <color rgb="FF000000"/>
        <rFont val="Calibri Light"/>
      </rPr>
      <t>/L</t>
    </r>
  </si>
  <si>
    <t>Color aparente</t>
  </si>
  <si>
    <t>UPC</t>
  </si>
  <si>
    <t>Conductividad</t>
  </si>
  <si>
    <t>µs/cm</t>
  </si>
  <si>
    <t>Dureza total</t>
  </si>
  <si>
    <t>Fosfato</t>
  </si>
  <si>
    <t>Hierro total</t>
  </si>
  <si>
    <t>mg Fe/L</t>
  </si>
  <si>
    <t>Magnesio</t>
  </si>
  <si>
    <t>mg Mg/L</t>
  </si>
  <si>
    <t>Nitrito</t>
  </si>
  <si>
    <t>Sólidos disueltos totales</t>
  </si>
  <si>
    <t>mg/L</t>
  </si>
  <si>
    <t>Sulfatos</t>
  </si>
  <si>
    <t>Turbiedad</t>
  </si>
  <si>
    <t>UNT</t>
  </si>
  <si>
    <t>ANOTACIONES</t>
  </si>
  <si>
    <r>
      <rPr>
        <b/>
        <sz val="10"/>
        <color theme="1"/>
        <rFont val="Calibri"/>
      </rPr>
      <t xml:space="preserve">Código: </t>
    </r>
    <r>
      <rPr>
        <sz val="10"/>
        <color theme="1"/>
        <rFont val="Calibri Light"/>
      </rPr>
      <t>Ft 004-06-1801</t>
    </r>
  </si>
  <si>
    <r>
      <rPr>
        <b/>
        <sz val="10"/>
        <color theme="1"/>
        <rFont val="Calibri"/>
      </rPr>
      <t xml:space="preserve">Versión: </t>
    </r>
    <r>
      <rPr>
        <sz val="10"/>
        <color theme="1"/>
        <rFont val="Calibri Light"/>
      </rPr>
      <t>05</t>
    </r>
  </si>
  <si>
    <r>
      <rPr>
        <b/>
        <sz val="10"/>
        <color theme="1"/>
        <rFont val="Calibri"/>
      </rPr>
      <t xml:space="preserve">Fecha de implementación:
</t>
    </r>
    <r>
      <rPr>
        <sz val="10"/>
        <color theme="1"/>
        <rFont val="Calibri Light"/>
      </rPr>
      <t>2021-08-11</t>
    </r>
  </si>
  <si>
    <r>
      <rPr>
        <b/>
        <sz val="10"/>
        <color theme="1"/>
        <rFont val="Calibri"/>
      </rPr>
      <t xml:space="preserve">N° de páginas: </t>
    </r>
    <r>
      <rPr>
        <sz val="10"/>
        <color theme="1"/>
        <rFont val="Calibri Light"/>
      </rPr>
      <t>2 de 2</t>
    </r>
  </si>
  <si>
    <t>Amonio</t>
  </si>
  <si>
    <t>DQO</t>
  </si>
  <si>
    <t>Dureza cálcica</t>
  </si>
  <si>
    <t>Fenol</t>
  </si>
  <si>
    <t>Fluoruro</t>
  </si>
  <si>
    <t>Manganeso</t>
  </si>
  <si>
    <t>mg Mn/L</t>
  </si>
  <si>
    <t>Nitrato</t>
  </si>
  <si>
    <t>Oxigeno disuelto</t>
  </si>
  <si>
    <t>mg OD/L</t>
  </si>
  <si>
    <t>RESULTADOS DE ENSAYO - MICROBIOLÓGICOS</t>
  </si>
  <si>
    <t>FECHA DE SIEMBRA</t>
  </si>
  <si>
    <t>HORA DE SIEMBRA</t>
  </si>
  <si>
    <t>16 h 40 min</t>
  </si>
  <si>
    <t>TEMPERATURA DE LA MUESTRA (°C)</t>
  </si>
  <si>
    <t>Coliformes totales</t>
  </si>
  <si>
    <t>UFC/100 ml</t>
  </si>
  <si>
    <t>PROMEDIO</t>
  </si>
  <si>
    <t>Escherichia coli</t>
  </si>
  <si>
    <t>Mesófilos</t>
  </si>
  <si>
    <t>FECHA DE LECTURA</t>
  </si>
  <si>
    <t>HORA DE LECTURA</t>
  </si>
  <si>
    <t>17 h</t>
  </si>
  <si>
    <t>ANALIZÓ</t>
  </si>
  <si>
    <t>REVISÓ Y APROBÓ</t>
  </si>
  <si>
    <r>
      <t>mg Cl</t>
    </r>
    <r>
      <rPr>
        <b/>
        <vertAlign val="subscript"/>
        <sz val="10"/>
        <color rgb="FF000000"/>
        <rFont val="Calibri Light"/>
      </rPr>
      <t>2</t>
    </r>
    <r>
      <rPr>
        <b/>
        <sz val="10"/>
        <color rgb="FF000000"/>
        <rFont val="Calibri Light"/>
      </rPr>
      <t>/L</t>
    </r>
  </si>
  <si>
    <r>
      <t>mg CaCO</t>
    </r>
    <r>
      <rPr>
        <b/>
        <vertAlign val="subscript"/>
        <sz val="10"/>
        <color rgb="FF000000"/>
        <rFont val="Calibri Light"/>
      </rPr>
      <t>3</t>
    </r>
    <r>
      <rPr>
        <b/>
        <sz val="10"/>
        <color rgb="FF000000"/>
        <rFont val="Calibri Light"/>
      </rPr>
      <t>/L</t>
    </r>
  </si>
  <si>
    <r>
      <t>mg PO</t>
    </r>
    <r>
      <rPr>
        <b/>
        <vertAlign val="subscript"/>
        <sz val="10"/>
        <color rgb="FF000000"/>
        <rFont val="Calibri Light"/>
      </rPr>
      <t>4</t>
    </r>
    <r>
      <rPr>
        <b/>
        <vertAlign val="superscript"/>
        <sz val="10"/>
        <color rgb="FF000000"/>
        <rFont val="Calibri Light"/>
      </rPr>
      <t>3-</t>
    </r>
    <r>
      <rPr>
        <b/>
        <sz val="10"/>
        <color rgb="FF000000"/>
        <rFont val="Calibri Light"/>
      </rPr>
      <t>/L</t>
    </r>
  </si>
  <si>
    <r>
      <t>mg NO</t>
    </r>
    <r>
      <rPr>
        <b/>
        <vertAlign val="subscript"/>
        <sz val="10"/>
        <color rgb="FF000000"/>
        <rFont val="Calibri Light"/>
      </rPr>
      <t>2</t>
    </r>
    <r>
      <rPr>
        <b/>
        <vertAlign val="superscript"/>
        <sz val="10"/>
        <color rgb="FF000000"/>
        <rFont val="Calibri Light"/>
      </rPr>
      <t>-</t>
    </r>
    <r>
      <rPr>
        <b/>
        <sz val="10"/>
        <color rgb="FF000000"/>
        <rFont val="Calibri Light"/>
      </rPr>
      <t>/L</t>
    </r>
  </si>
  <si>
    <r>
      <t>mg SO</t>
    </r>
    <r>
      <rPr>
        <b/>
        <vertAlign val="subscript"/>
        <sz val="10"/>
        <color rgb="FF000000"/>
        <rFont val="Calibri Light"/>
      </rPr>
      <t>2</t>
    </r>
    <r>
      <rPr>
        <b/>
        <vertAlign val="superscript"/>
        <sz val="10"/>
        <color rgb="FF000000"/>
        <rFont val="Calibri Light"/>
      </rPr>
      <t>4-</t>
    </r>
    <r>
      <rPr>
        <b/>
        <sz val="10"/>
        <color rgb="FF000000"/>
        <rFont val="Calibri Light"/>
      </rPr>
      <t>/L</t>
    </r>
  </si>
  <si>
    <r>
      <t>mg NH</t>
    </r>
    <r>
      <rPr>
        <b/>
        <vertAlign val="subscript"/>
        <sz val="10"/>
        <color rgb="FF000000"/>
        <rFont val="Calibri Light"/>
      </rPr>
      <t>4</t>
    </r>
    <r>
      <rPr>
        <b/>
        <vertAlign val="superscript"/>
        <sz val="10"/>
        <color rgb="FF000000"/>
        <rFont val="Calibri Light"/>
      </rPr>
      <t>+</t>
    </r>
    <r>
      <rPr>
        <b/>
        <sz val="10"/>
        <color rgb="FF000000"/>
        <rFont val="Calibri Light"/>
      </rPr>
      <t>/L</t>
    </r>
  </si>
  <si>
    <r>
      <t>mg O</t>
    </r>
    <r>
      <rPr>
        <b/>
        <vertAlign val="subscript"/>
        <sz val="10"/>
        <color rgb="FF000000"/>
        <rFont val="Calibri Light"/>
      </rPr>
      <t>2</t>
    </r>
    <r>
      <rPr>
        <b/>
        <sz val="10"/>
        <color rgb="FF000000"/>
        <rFont val="Calibri Light"/>
      </rPr>
      <t>/L</t>
    </r>
  </si>
  <si>
    <r>
      <t>mg C</t>
    </r>
    <r>
      <rPr>
        <b/>
        <vertAlign val="subscript"/>
        <sz val="10"/>
        <color rgb="FF000000"/>
        <rFont val="Calibri Light"/>
      </rPr>
      <t>6</t>
    </r>
    <r>
      <rPr>
        <b/>
        <sz val="10"/>
        <color rgb="FF000000"/>
        <rFont val="Calibri Light"/>
      </rPr>
      <t>H</t>
    </r>
    <r>
      <rPr>
        <b/>
        <vertAlign val="subscript"/>
        <sz val="10"/>
        <color rgb="FF000000"/>
        <rFont val="Calibri Light"/>
      </rPr>
      <t>5</t>
    </r>
    <r>
      <rPr>
        <b/>
        <sz val="10"/>
        <color rgb="FF000000"/>
        <rFont val="Calibri Light"/>
      </rPr>
      <t xml:space="preserve">OH/L </t>
    </r>
  </si>
  <si>
    <r>
      <t>mg F</t>
    </r>
    <r>
      <rPr>
        <b/>
        <vertAlign val="superscript"/>
        <sz val="10"/>
        <color rgb="FF000000"/>
        <rFont val="Calibri Light"/>
      </rPr>
      <t>-</t>
    </r>
    <r>
      <rPr>
        <b/>
        <sz val="10"/>
        <color rgb="FF000000"/>
        <rFont val="Calibri Light"/>
      </rPr>
      <t>/L</t>
    </r>
  </si>
  <si>
    <r>
      <t>mg NO</t>
    </r>
    <r>
      <rPr>
        <b/>
        <vertAlign val="subscript"/>
        <sz val="10"/>
        <color rgb="FF000000"/>
        <rFont val="Calibri Light"/>
      </rPr>
      <t>3</t>
    </r>
    <r>
      <rPr>
        <b/>
        <vertAlign val="superscript"/>
        <sz val="10"/>
        <color rgb="FF000000"/>
        <rFont val="Calibri Light"/>
      </rPr>
      <t>-</t>
    </r>
    <r>
      <rPr>
        <b/>
        <sz val="10"/>
        <color rgb="FF000000"/>
        <rFont val="Calibri Light"/>
      </rPr>
      <t>/L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</si>
</sst>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* #,##0.00\ &quot;€&quot;_-;\-* #,##0.00\ &quot;€&quot;_-;_-* &quot;-&quot;??\ &quot;€&quot;_-;_-@"/>
    <numFmt numFmtId="166" formatCode="0.0"/>
  </numFmts>
  <fonts count="37" x14ac:knownFonts="1">
    <font>
      <sz val="11"/>
      <color theme="1"/>
      <name val="Calibri"/>
      <scheme val="minor"/>
    </font>
    <font>
      <b/>
      <sz val="18"/>
      <color rgb="FF000000"/>
      <name val="Calibri"/>
    </font>
    <font>
      <sz val="11"/>
      <name val="Calibri"/>
    </font>
    <font>
      <b/>
      <sz val="16"/>
      <color rgb="FF000000"/>
      <name val="Calibri"/>
    </font>
    <font>
      <sz val="11"/>
      <color rgb="FF000000"/>
      <name val="Times New Roman"/>
    </font>
    <font>
      <b/>
      <sz val="16"/>
      <color theme="1"/>
      <name val="Calibri"/>
    </font>
    <font>
      <sz val="11"/>
      <color rgb="FF000000"/>
      <name val="Calibri"/>
    </font>
    <font>
      <sz val="2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22"/>
      <color theme="1"/>
      <name val="Calibri"/>
    </font>
    <font>
      <sz val="11"/>
      <color theme="1"/>
      <name val="Calibri"/>
    </font>
    <font>
      <sz val="20"/>
      <color rgb="FF000000"/>
      <name val="Calibri"/>
    </font>
    <font>
      <sz val="20"/>
      <color theme="1"/>
      <name val="Calibri"/>
    </font>
    <font>
      <b/>
      <sz val="9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sz val="13"/>
      <color theme="1"/>
      <name val="Calibri"/>
    </font>
    <font>
      <sz val="9"/>
      <color theme="1"/>
      <name val="Calibri"/>
    </font>
    <font>
      <sz val="8"/>
      <color theme="1"/>
      <name val="Calibri"/>
    </font>
    <font>
      <b/>
      <sz val="10"/>
      <color rgb="FF000000"/>
      <name val="Calibri"/>
    </font>
    <font>
      <sz val="13"/>
      <color rgb="FF000000"/>
      <name val="Calibri"/>
    </font>
    <font>
      <sz val="12"/>
      <color theme="1"/>
      <name val="Calibri"/>
    </font>
    <font>
      <sz val="8"/>
      <color rgb="FF000000"/>
      <name val="Calibri"/>
    </font>
    <font>
      <b/>
      <sz val="9"/>
      <color rgb="FF000000"/>
      <name val="Calibri"/>
    </font>
    <font>
      <b/>
      <i/>
      <sz val="9"/>
      <color rgb="FF000000"/>
      <name val="Calibri"/>
    </font>
    <font>
      <sz val="18"/>
      <color rgb="FF000000"/>
      <name val="Calibri Light"/>
    </font>
    <font>
      <sz val="16"/>
      <color rgb="FF000000"/>
      <name val="Calibri Light"/>
    </font>
    <font>
      <sz val="16"/>
      <color theme="1"/>
      <name val="Calibri Light"/>
    </font>
    <font>
      <b/>
      <vertAlign val="subscript"/>
      <sz val="12"/>
      <color rgb="FF000000"/>
      <name val="Calibri Light"/>
    </font>
    <font>
      <sz val="10"/>
      <color theme="1"/>
      <name val="Calibri Light"/>
    </font>
    <font>
      <b/>
      <i/>
      <sz val="10"/>
      <color theme="1"/>
      <name val="Calibri Light"/>
    </font>
    <font>
      <b/>
      <vertAlign val="subscript"/>
      <sz val="10"/>
      <color theme="1"/>
      <name val="Calibri Light"/>
    </font>
    <font>
      <b/>
      <sz val="10"/>
      <color theme="1"/>
      <name val="Calibri Light"/>
    </font>
    <font>
      <b/>
      <vertAlign val="subscript"/>
      <sz val="10"/>
      <color rgb="FF000000"/>
      <name val="Calibri Light"/>
    </font>
    <font>
      <b/>
      <sz val="10"/>
      <color rgb="FF000000"/>
      <name val="Calibri Light"/>
    </font>
    <font>
      <b/>
      <vertAlign val="superscript"/>
      <sz val="10"/>
      <color rgb="FF000000"/>
      <name val="Calibri Light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9" fillId="0" borderId="0" xfId="0" applyFont="1"/>
    <xf numFmtId="0" fontId="8" fillId="2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2" fontId="7" fillId="4" borderId="18" xfId="0" applyNumberFormat="1" applyFont="1" applyFill="1" applyBorder="1" applyAlignment="1">
      <alignment horizontal="center" vertical="center" wrapText="1"/>
    </xf>
    <xf numFmtId="166" fontId="7" fillId="0" borderId="1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center" vertical="center" wrapText="1"/>
    </xf>
    <xf numFmtId="166" fontId="7" fillId="0" borderId="12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0" xfId="0" applyFont="1"/>
    <xf numFmtId="0" fontId="16" fillId="2" borderId="12" xfId="0" applyFont="1" applyFill="1" applyBorder="1" applyAlignment="1">
      <alignment horizontal="right" vertical="center"/>
    </xf>
    <xf numFmtId="0" fontId="21" fillId="4" borderId="12" xfId="0" applyFont="1" applyFill="1" applyBorder="1" applyAlignment="1">
      <alignment horizontal="center" vertical="center" wrapText="1"/>
    </xf>
    <xf numFmtId="166" fontId="17" fillId="4" borderId="12" xfId="0" applyNumberFormat="1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/>
    </xf>
    <xf numFmtId="2" fontId="17" fillId="4" borderId="22" xfId="0" applyNumberFormat="1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vertical="center"/>
    </xf>
    <xf numFmtId="165" fontId="8" fillId="2" borderId="13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6" xfId="0" applyFont="1" applyBorder="1"/>
    <xf numFmtId="164" fontId="3" fillId="2" borderId="4" xfId="0" applyNumberFormat="1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164" fontId="1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3" fillId="2" borderId="19" xfId="0" applyNumberFormat="1" applyFont="1" applyFill="1" applyBorder="1" applyAlignment="1">
      <alignment horizontal="left" vertical="center" wrapText="1"/>
    </xf>
    <xf numFmtId="0" fontId="2" fillId="0" borderId="20" xfId="0" applyFont="1" applyBorder="1"/>
    <xf numFmtId="0" fontId="2" fillId="0" borderId="21" xfId="0" applyFont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8" fillId="2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164" fontId="12" fillId="4" borderId="4" xfId="0" applyNumberFormat="1" applyFont="1" applyFill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/>
    </xf>
    <xf numFmtId="164" fontId="7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/>
    </xf>
    <xf numFmtId="164" fontId="17" fillId="4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164" fontId="17" fillId="0" borderId="4" xfId="0" applyNumberFormat="1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wrapText="1"/>
    </xf>
    <xf numFmtId="0" fontId="16" fillId="2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5" fillId="2" borderId="4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right" vertical="center" wrapText="1"/>
    </xf>
    <xf numFmtId="0" fontId="18" fillId="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2" fontId="17" fillId="4" borderId="4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166" fontId="17" fillId="4" borderId="4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0</xdr:row>
      <xdr:rowOff>171450</xdr:rowOff>
    </xdr:from>
    <xdr:ext cx="1114425" cy="1057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0</xdr:row>
      <xdr:rowOff>47625</xdr:rowOff>
    </xdr:from>
    <xdr:ext cx="523875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33</xdr:row>
      <xdr:rowOff>47625</xdr:rowOff>
    </xdr:from>
    <xdr:ext cx="523875" cy="5429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tabSelected="1" topLeftCell="A17" zoomScale="50" zoomScaleNormal="50" workbookViewId="0">
      <selection activeCell="A29" sqref="A29:W29"/>
    </sheetView>
  </sheetViews>
  <sheetFormatPr baseColWidth="10" defaultColWidth="14.42578125" defaultRowHeight="15" customHeight="1" x14ac:dyDescent="0.25"/>
  <cols>
    <col min="1" max="1" width="24.5703125" customWidth="1"/>
    <col min="2" max="2" width="18.5703125" customWidth="1"/>
    <col min="3" max="3" width="16" customWidth="1"/>
    <col min="4" max="4" width="27.5703125" customWidth="1"/>
    <col min="5" max="5" width="26.28515625" customWidth="1"/>
    <col min="6" max="6" width="19.7109375" customWidth="1"/>
    <col min="7" max="9" width="7.7109375" customWidth="1"/>
    <col min="10" max="12" width="10.28515625" customWidth="1"/>
    <col min="13" max="13" width="20.42578125" customWidth="1"/>
    <col min="14" max="14" width="23.140625" customWidth="1"/>
    <col min="15" max="15" width="19.28515625" customWidth="1"/>
    <col min="16" max="16" width="24" customWidth="1"/>
    <col min="17" max="17" width="20.5703125" customWidth="1"/>
    <col min="18" max="18" width="22.28515625" customWidth="1"/>
    <col min="19" max="19" width="15.85546875" customWidth="1"/>
    <col min="20" max="20" width="23.7109375" customWidth="1"/>
    <col min="21" max="21" width="20.5703125" customWidth="1"/>
    <col min="22" max="22" width="22.5703125" customWidth="1"/>
    <col min="23" max="23" width="25.140625" customWidth="1"/>
    <col min="24" max="26" width="10.7109375" customWidth="1"/>
  </cols>
  <sheetData>
    <row r="1" spans="1:26" ht="38.25" customHeight="1" x14ac:dyDescent="0.25">
      <c r="A1" s="55" t="s">
        <v>0</v>
      </c>
      <c r="B1" s="42"/>
      <c r="C1" s="42"/>
      <c r="D1" s="43"/>
      <c r="E1" s="59" t="s">
        <v>1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60" t="s">
        <v>2</v>
      </c>
      <c r="U1" s="39"/>
      <c r="V1" s="39"/>
      <c r="W1" s="40"/>
      <c r="X1" s="1"/>
      <c r="Y1" s="1"/>
      <c r="Z1" s="1"/>
    </row>
    <row r="2" spans="1:26" ht="38.25" customHeight="1" x14ac:dyDescent="0.25">
      <c r="A2" s="56"/>
      <c r="B2" s="57"/>
      <c r="C2" s="57"/>
      <c r="D2" s="58"/>
      <c r="E2" s="56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/>
      <c r="T2" s="60" t="s">
        <v>3</v>
      </c>
      <c r="U2" s="39"/>
      <c r="V2" s="39"/>
      <c r="W2" s="40"/>
      <c r="X2" s="1"/>
      <c r="Y2" s="1"/>
      <c r="Z2" s="1"/>
    </row>
    <row r="3" spans="1:26" ht="38.25" customHeight="1" x14ac:dyDescent="0.25">
      <c r="A3" s="56"/>
      <c r="B3" s="57"/>
      <c r="C3" s="57"/>
      <c r="D3" s="58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  <c r="T3" s="61" t="s">
        <v>4</v>
      </c>
      <c r="U3" s="42"/>
      <c r="V3" s="42"/>
      <c r="W3" s="43"/>
      <c r="X3" s="1"/>
      <c r="Y3" s="1"/>
      <c r="Z3" s="1"/>
    </row>
    <row r="4" spans="1:26" ht="38.25" customHeight="1" x14ac:dyDescent="0.25">
      <c r="A4" s="56"/>
      <c r="B4" s="57"/>
      <c r="C4" s="57"/>
      <c r="D4" s="58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  <c r="T4" s="44"/>
      <c r="U4" s="45"/>
      <c r="V4" s="45"/>
      <c r="W4" s="46"/>
      <c r="X4" s="1"/>
      <c r="Y4" s="1"/>
      <c r="Z4" s="1"/>
    </row>
    <row r="5" spans="1:26" ht="38.25" customHeight="1" x14ac:dyDescent="0.25">
      <c r="A5" s="44"/>
      <c r="B5" s="45"/>
      <c r="C5" s="45"/>
      <c r="D5" s="46"/>
      <c r="E5" s="44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  <c r="T5" s="60" t="s">
        <v>5</v>
      </c>
      <c r="U5" s="39"/>
      <c r="V5" s="39"/>
      <c r="W5" s="40"/>
      <c r="X5" s="1"/>
      <c r="Y5" s="1"/>
      <c r="Z5" s="1"/>
    </row>
    <row r="6" spans="1:26" x14ac:dyDescent="0.25">
      <c r="A6" s="62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2"/>
      <c r="W6" s="3"/>
      <c r="X6" s="1"/>
      <c r="Y6" s="1"/>
      <c r="Z6" s="1"/>
    </row>
    <row r="7" spans="1:26" x14ac:dyDescent="0.2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2"/>
      <c r="W7" s="3"/>
      <c r="X7" s="1"/>
      <c r="Y7" s="1"/>
      <c r="Z7" s="1"/>
    </row>
    <row r="8" spans="1:26" ht="45" customHeight="1" x14ac:dyDescent="0.25">
      <c r="A8" s="70" t="s">
        <v>6</v>
      </c>
      <c r="B8" s="39"/>
      <c r="C8" s="40"/>
      <c r="D8" s="71">
        <v>45323</v>
      </c>
      <c r="E8" s="39"/>
      <c r="F8" s="4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6"/>
      <c r="Y8" s="6"/>
      <c r="Z8" s="6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3"/>
      <c r="X9" s="1"/>
      <c r="Y9" s="1"/>
      <c r="Z9" s="1"/>
    </row>
    <row r="10" spans="1:26" ht="40.5" customHeight="1" x14ac:dyDescent="0.25">
      <c r="A10" s="72" t="s">
        <v>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0"/>
      <c r="N10" s="72" t="s">
        <v>8</v>
      </c>
      <c r="O10" s="39"/>
      <c r="P10" s="39"/>
      <c r="Q10" s="40"/>
      <c r="R10" s="72" t="s">
        <v>9</v>
      </c>
      <c r="S10" s="39"/>
      <c r="T10" s="39"/>
      <c r="U10" s="40"/>
      <c r="V10" s="7" t="s">
        <v>10</v>
      </c>
      <c r="W10" s="8"/>
      <c r="X10" s="1"/>
      <c r="Y10" s="1"/>
      <c r="Z10" s="1"/>
    </row>
    <row r="11" spans="1:26" ht="53.25" customHeight="1" x14ac:dyDescent="0.25">
      <c r="A11" s="50" t="s">
        <v>11</v>
      </c>
      <c r="B11" s="50" t="s">
        <v>12</v>
      </c>
      <c r="C11" s="50" t="s">
        <v>13</v>
      </c>
      <c r="D11" s="50" t="s">
        <v>14</v>
      </c>
      <c r="E11" s="50" t="s">
        <v>15</v>
      </c>
      <c r="F11" s="50" t="s">
        <v>16</v>
      </c>
      <c r="G11" s="53" t="s">
        <v>17</v>
      </c>
      <c r="H11" s="39"/>
      <c r="I11" s="40"/>
      <c r="J11" s="53" t="s">
        <v>18</v>
      </c>
      <c r="K11" s="39"/>
      <c r="L11" s="40"/>
      <c r="M11" s="50" t="s">
        <v>19</v>
      </c>
      <c r="N11" s="50" t="s">
        <v>20</v>
      </c>
      <c r="O11" s="50" t="s">
        <v>21</v>
      </c>
      <c r="P11" s="50" t="s">
        <v>22</v>
      </c>
      <c r="Q11" s="50" t="s">
        <v>23</v>
      </c>
      <c r="R11" s="35" t="s">
        <v>24</v>
      </c>
      <c r="S11" s="35" t="s">
        <v>25</v>
      </c>
      <c r="T11" s="35" t="s">
        <v>26</v>
      </c>
      <c r="U11" s="35" t="s">
        <v>27</v>
      </c>
      <c r="V11" s="35" t="s">
        <v>28</v>
      </c>
      <c r="W11" s="35" t="s">
        <v>29</v>
      </c>
      <c r="X11" s="1"/>
      <c r="Y11" s="1"/>
      <c r="Z11" s="1"/>
    </row>
    <row r="12" spans="1:26" ht="53.25" customHeight="1" x14ac:dyDescent="0.25">
      <c r="A12" s="36"/>
      <c r="B12" s="36"/>
      <c r="C12" s="36"/>
      <c r="D12" s="36"/>
      <c r="E12" s="36"/>
      <c r="F12" s="36"/>
      <c r="G12" s="51" t="s">
        <v>30</v>
      </c>
      <c r="H12" s="53" t="s">
        <v>31</v>
      </c>
      <c r="I12" s="40"/>
      <c r="J12" s="50" t="s">
        <v>32</v>
      </c>
      <c r="K12" s="50" t="s">
        <v>33</v>
      </c>
      <c r="L12" s="50" t="s">
        <v>34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1"/>
      <c r="Y12" s="1"/>
      <c r="Z12" s="1"/>
    </row>
    <row r="13" spans="1:26" ht="53.25" customHeight="1" x14ac:dyDescent="0.25">
      <c r="A13" s="37"/>
      <c r="B13" s="37"/>
      <c r="C13" s="37"/>
      <c r="D13" s="37"/>
      <c r="E13" s="37"/>
      <c r="F13" s="37"/>
      <c r="G13" s="52"/>
      <c r="H13" s="9">
        <v>1</v>
      </c>
      <c r="I13" s="9">
        <v>2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1"/>
      <c r="Y13" s="1"/>
      <c r="Z13" s="1"/>
    </row>
    <row r="14" spans="1:26" ht="91.5" customHeight="1" x14ac:dyDescent="0.25">
      <c r="A14" s="28" t="s">
        <v>35</v>
      </c>
      <c r="B14" s="29" t="s">
        <v>36</v>
      </c>
      <c r="C14" s="29" t="s">
        <v>37</v>
      </c>
      <c r="D14" s="29" t="s">
        <v>38</v>
      </c>
      <c r="E14" s="29" t="s">
        <v>39</v>
      </c>
      <c r="F14" s="29" t="s">
        <v>40</v>
      </c>
      <c r="G14" s="30" t="s">
        <v>41</v>
      </c>
      <c r="H14" s="30" t="s">
        <v>41</v>
      </c>
      <c r="I14" s="10" t="s">
        <v>39</v>
      </c>
      <c r="J14" s="11">
        <v>1.65</v>
      </c>
      <c r="K14" s="11">
        <v>7.28</v>
      </c>
      <c r="L14" s="12">
        <v>18.899999999999999</v>
      </c>
      <c r="M14" s="13" t="s">
        <v>42</v>
      </c>
      <c r="N14" s="14">
        <f t="shared" ref="N14:N19" si="0">+$D$8</f>
        <v>45323</v>
      </c>
      <c r="O14" s="15" t="s">
        <v>43</v>
      </c>
      <c r="P14" s="12">
        <v>18.899999999999999</v>
      </c>
      <c r="Q14" s="13" t="s">
        <v>44</v>
      </c>
      <c r="R14" s="14">
        <f t="shared" ref="R14:R19" si="1">+N14</f>
        <v>45323</v>
      </c>
      <c r="S14" s="15" t="s">
        <v>45</v>
      </c>
      <c r="T14" s="16">
        <f>+Resultados!F16</f>
        <v>18.8</v>
      </c>
      <c r="U14" s="13" t="s">
        <v>44</v>
      </c>
      <c r="V14" s="17">
        <f t="shared" ref="V14:V19" si="2">+R14+1</f>
        <v>45324</v>
      </c>
      <c r="W14" s="18" t="s">
        <v>39</v>
      </c>
      <c r="X14" s="1"/>
      <c r="Y14" s="1"/>
      <c r="Z14" s="1"/>
    </row>
    <row r="15" spans="1:26" ht="91.5" customHeight="1" x14ac:dyDescent="0.25">
      <c r="A15" s="31" t="s">
        <v>46</v>
      </c>
      <c r="B15" s="32" t="s">
        <v>47</v>
      </c>
      <c r="C15" s="32" t="s">
        <v>48</v>
      </c>
      <c r="D15" s="32" t="s">
        <v>49</v>
      </c>
      <c r="E15" s="32" t="s">
        <v>39</v>
      </c>
      <c r="F15" s="32" t="s">
        <v>50</v>
      </c>
      <c r="G15" s="33" t="s">
        <v>41</v>
      </c>
      <c r="H15" s="34"/>
      <c r="I15" s="10" t="s">
        <v>39</v>
      </c>
      <c r="J15" s="11" t="s">
        <v>39</v>
      </c>
      <c r="K15" s="11">
        <v>6.98</v>
      </c>
      <c r="L15" s="12">
        <v>18.7</v>
      </c>
      <c r="M15" s="13" t="s">
        <v>42</v>
      </c>
      <c r="N15" s="14">
        <f t="shared" si="0"/>
        <v>45323</v>
      </c>
      <c r="O15" s="15" t="s">
        <v>43</v>
      </c>
      <c r="P15" s="12">
        <v>18.7</v>
      </c>
      <c r="Q15" s="13" t="s">
        <v>44</v>
      </c>
      <c r="R15" s="14">
        <f t="shared" si="1"/>
        <v>45323</v>
      </c>
      <c r="S15" s="15" t="s">
        <v>45</v>
      </c>
      <c r="T15" s="18">
        <f>+Resultados!H16</f>
        <v>18.5</v>
      </c>
      <c r="U15" s="13" t="s">
        <v>44</v>
      </c>
      <c r="V15" s="17">
        <f t="shared" si="2"/>
        <v>45324</v>
      </c>
      <c r="W15" s="18" t="s">
        <v>39</v>
      </c>
      <c r="X15" s="1"/>
      <c r="Y15" s="1"/>
      <c r="Z15" s="1"/>
    </row>
    <row r="16" spans="1:26" ht="91.5" customHeight="1" x14ac:dyDescent="0.25">
      <c r="A16" s="28" t="s">
        <v>51</v>
      </c>
      <c r="B16" s="29" t="s">
        <v>45</v>
      </c>
      <c r="C16" s="29" t="s">
        <v>37</v>
      </c>
      <c r="D16" s="29" t="s">
        <v>52</v>
      </c>
      <c r="E16" s="29">
        <v>6</v>
      </c>
      <c r="F16" s="29" t="s">
        <v>53</v>
      </c>
      <c r="G16" s="30" t="s">
        <v>41</v>
      </c>
      <c r="H16" s="30" t="s">
        <v>41</v>
      </c>
      <c r="I16" s="10" t="s">
        <v>39</v>
      </c>
      <c r="J16" s="11">
        <v>1</v>
      </c>
      <c r="K16" s="11">
        <v>7.6</v>
      </c>
      <c r="L16" s="12">
        <v>18.600000000000001</v>
      </c>
      <c r="M16" s="13" t="s">
        <v>42</v>
      </c>
      <c r="N16" s="14">
        <f t="shared" si="0"/>
        <v>45323</v>
      </c>
      <c r="O16" s="15" t="s">
        <v>54</v>
      </c>
      <c r="P16" s="12">
        <v>18.899999999999999</v>
      </c>
      <c r="Q16" s="13" t="s">
        <v>44</v>
      </c>
      <c r="R16" s="14">
        <f t="shared" si="1"/>
        <v>45323</v>
      </c>
      <c r="S16" s="15" t="s">
        <v>55</v>
      </c>
      <c r="T16" s="16">
        <f>+Resultados!J16</f>
        <v>18</v>
      </c>
      <c r="U16" s="13" t="s">
        <v>44</v>
      </c>
      <c r="V16" s="17">
        <f t="shared" si="2"/>
        <v>45324</v>
      </c>
      <c r="W16" s="18" t="s">
        <v>39</v>
      </c>
      <c r="X16" s="1"/>
      <c r="Y16" s="1"/>
      <c r="Z16" s="1"/>
    </row>
    <row r="17" spans="1:26" ht="91.5" customHeight="1" x14ac:dyDescent="0.25">
      <c r="A17" s="28" t="s">
        <v>56</v>
      </c>
      <c r="B17" s="32" t="s">
        <v>57</v>
      </c>
      <c r="C17" s="32" t="s">
        <v>37</v>
      </c>
      <c r="D17" s="32" t="s">
        <v>52</v>
      </c>
      <c r="E17" s="32">
        <v>16</v>
      </c>
      <c r="F17" s="32" t="s">
        <v>53</v>
      </c>
      <c r="G17" s="33" t="s">
        <v>41</v>
      </c>
      <c r="H17" s="33" t="s">
        <v>41</v>
      </c>
      <c r="I17" s="10" t="s">
        <v>39</v>
      </c>
      <c r="J17" s="11">
        <v>0</v>
      </c>
      <c r="K17" s="11">
        <v>7.47</v>
      </c>
      <c r="L17" s="12">
        <v>19.8</v>
      </c>
      <c r="M17" s="13" t="s">
        <v>42</v>
      </c>
      <c r="N17" s="14">
        <f t="shared" si="0"/>
        <v>45323</v>
      </c>
      <c r="O17" s="15" t="s">
        <v>58</v>
      </c>
      <c r="P17" s="12">
        <v>22.2</v>
      </c>
      <c r="Q17" s="13" t="s">
        <v>44</v>
      </c>
      <c r="R17" s="14">
        <f t="shared" si="1"/>
        <v>45323</v>
      </c>
      <c r="S17" s="15" t="s">
        <v>59</v>
      </c>
      <c r="T17" s="16">
        <f>+Resultados!L16</f>
        <v>20.9</v>
      </c>
      <c r="U17" s="13" t="s">
        <v>44</v>
      </c>
      <c r="V17" s="17">
        <f t="shared" si="2"/>
        <v>45324</v>
      </c>
      <c r="W17" s="18" t="s">
        <v>39</v>
      </c>
      <c r="X17" s="1"/>
      <c r="Y17" s="1"/>
      <c r="Z17" s="1"/>
    </row>
    <row r="18" spans="1:26" ht="91.5" customHeight="1" x14ac:dyDescent="0.25">
      <c r="A18" s="28" t="s">
        <v>60</v>
      </c>
      <c r="B18" s="32" t="s">
        <v>61</v>
      </c>
      <c r="C18" s="32" t="s">
        <v>37</v>
      </c>
      <c r="D18" s="32" t="s">
        <v>52</v>
      </c>
      <c r="E18" s="32">
        <v>10</v>
      </c>
      <c r="F18" s="32" t="s">
        <v>53</v>
      </c>
      <c r="G18" s="33" t="s">
        <v>41</v>
      </c>
      <c r="H18" s="33" t="s">
        <v>41</v>
      </c>
      <c r="I18" s="10" t="s">
        <v>39</v>
      </c>
      <c r="J18" s="11">
        <v>0.8</v>
      </c>
      <c r="K18" s="11">
        <v>7.61</v>
      </c>
      <c r="L18" s="12">
        <v>18.2</v>
      </c>
      <c r="M18" s="13" t="s">
        <v>42</v>
      </c>
      <c r="N18" s="14">
        <f t="shared" si="0"/>
        <v>45323</v>
      </c>
      <c r="O18" s="15" t="s">
        <v>58</v>
      </c>
      <c r="P18" s="12">
        <v>20.9</v>
      </c>
      <c r="Q18" s="13" t="s">
        <v>44</v>
      </c>
      <c r="R18" s="14">
        <f t="shared" si="1"/>
        <v>45323</v>
      </c>
      <c r="S18" s="15" t="s">
        <v>59</v>
      </c>
      <c r="T18" s="18">
        <f>+Resultados!N16</f>
        <v>19.7</v>
      </c>
      <c r="U18" s="13" t="s">
        <v>44</v>
      </c>
      <c r="V18" s="17">
        <f t="shared" si="2"/>
        <v>45324</v>
      </c>
      <c r="W18" s="18" t="s">
        <v>39</v>
      </c>
      <c r="X18" s="1"/>
      <c r="Y18" s="1"/>
      <c r="Z18" s="1"/>
    </row>
    <row r="19" spans="1:26" ht="91.5" customHeight="1" x14ac:dyDescent="0.25">
      <c r="A19" s="28" t="s">
        <v>62</v>
      </c>
      <c r="B19" s="32" t="s">
        <v>63</v>
      </c>
      <c r="C19" s="32" t="s">
        <v>37</v>
      </c>
      <c r="D19" s="32" t="s">
        <v>52</v>
      </c>
      <c r="E19" s="32">
        <v>4</v>
      </c>
      <c r="F19" s="32" t="s">
        <v>53</v>
      </c>
      <c r="G19" s="33" t="s">
        <v>41</v>
      </c>
      <c r="H19" s="33" t="s">
        <v>41</v>
      </c>
      <c r="I19" s="10" t="s">
        <v>39</v>
      </c>
      <c r="J19" s="11">
        <v>1</v>
      </c>
      <c r="K19" s="11">
        <v>7.65</v>
      </c>
      <c r="L19" s="12">
        <v>20.2</v>
      </c>
      <c r="M19" s="13" t="s">
        <v>42</v>
      </c>
      <c r="N19" s="14">
        <f t="shared" si="0"/>
        <v>45323</v>
      </c>
      <c r="O19" s="15" t="s">
        <v>58</v>
      </c>
      <c r="P19" s="12">
        <v>22.9</v>
      </c>
      <c r="Q19" s="13" t="s">
        <v>44</v>
      </c>
      <c r="R19" s="14">
        <f t="shared" si="1"/>
        <v>45323</v>
      </c>
      <c r="S19" s="15" t="s">
        <v>59</v>
      </c>
      <c r="T19" s="18">
        <f>+Resultados!P16</f>
        <v>21.2</v>
      </c>
      <c r="U19" s="13" t="s">
        <v>44</v>
      </c>
      <c r="V19" s="17">
        <f t="shared" si="2"/>
        <v>45324</v>
      </c>
      <c r="W19" s="18" t="s">
        <v>39</v>
      </c>
      <c r="X19" s="1"/>
      <c r="Y19" s="1"/>
      <c r="Z19" s="1"/>
    </row>
    <row r="20" spans="1:26" ht="91.5" customHeight="1" x14ac:dyDescent="0.25">
      <c r="A20" s="18" t="s">
        <v>39</v>
      </c>
      <c r="B20" s="18" t="s">
        <v>39</v>
      </c>
      <c r="C20" s="18" t="s">
        <v>39</v>
      </c>
      <c r="D20" s="18" t="s">
        <v>39</v>
      </c>
      <c r="E20" s="18" t="s">
        <v>39</v>
      </c>
      <c r="F20" s="18" t="s">
        <v>39</v>
      </c>
      <c r="G20" s="18" t="s">
        <v>39</v>
      </c>
      <c r="H20" s="18" t="s">
        <v>39</v>
      </c>
      <c r="I20" s="18" t="s">
        <v>39</v>
      </c>
      <c r="J20" s="18" t="s">
        <v>39</v>
      </c>
      <c r="K20" s="18" t="s">
        <v>39</v>
      </c>
      <c r="L20" s="18" t="s">
        <v>39</v>
      </c>
      <c r="M20" s="18" t="s">
        <v>39</v>
      </c>
      <c r="N20" s="18" t="s">
        <v>39</v>
      </c>
      <c r="O20" s="18" t="s">
        <v>39</v>
      </c>
      <c r="P20" s="18" t="s">
        <v>39</v>
      </c>
      <c r="Q20" s="18" t="s">
        <v>39</v>
      </c>
      <c r="R20" s="18" t="s">
        <v>39</v>
      </c>
      <c r="S20" s="18" t="s">
        <v>39</v>
      </c>
      <c r="T20" s="18" t="s">
        <v>39</v>
      </c>
      <c r="U20" s="18" t="s">
        <v>39</v>
      </c>
      <c r="V20" s="18" t="s">
        <v>39</v>
      </c>
      <c r="W20" s="18" t="s">
        <v>39</v>
      </c>
      <c r="X20" s="1"/>
      <c r="Y20" s="1"/>
      <c r="Z20" s="1"/>
    </row>
    <row r="21" spans="1:26" ht="91.5" customHeight="1" x14ac:dyDescent="0.25">
      <c r="A21" s="18" t="s">
        <v>39</v>
      </c>
      <c r="B21" s="18" t="s">
        <v>39</v>
      </c>
      <c r="C21" s="18" t="s">
        <v>39</v>
      </c>
      <c r="D21" s="18" t="s">
        <v>39</v>
      </c>
      <c r="E21" s="18" t="s">
        <v>39</v>
      </c>
      <c r="F21" s="18" t="s">
        <v>39</v>
      </c>
      <c r="G21" s="18" t="s">
        <v>39</v>
      </c>
      <c r="H21" s="18" t="s">
        <v>39</v>
      </c>
      <c r="I21" s="18" t="s">
        <v>39</v>
      </c>
      <c r="J21" s="18" t="s">
        <v>39</v>
      </c>
      <c r="K21" s="18" t="s">
        <v>39</v>
      </c>
      <c r="L21" s="18" t="s">
        <v>39</v>
      </c>
      <c r="M21" s="18" t="s">
        <v>39</v>
      </c>
      <c r="N21" s="18" t="s">
        <v>39</v>
      </c>
      <c r="O21" s="18" t="s">
        <v>39</v>
      </c>
      <c r="P21" s="18" t="s">
        <v>39</v>
      </c>
      <c r="Q21" s="18" t="s">
        <v>39</v>
      </c>
      <c r="R21" s="18" t="s">
        <v>39</v>
      </c>
      <c r="S21" s="18" t="s">
        <v>39</v>
      </c>
      <c r="T21" s="18" t="s">
        <v>39</v>
      </c>
      <c r="U21" s="18" t="s">
        <v>39</v>
      </c>
      <c r="V21" s="18" t="s">
        <v>39</v>
      </c>
      <c r="W21" s="18" t="s">
        <v>39</v>
      </c>
      <c r="X21" s="1"/>
      <c r="Y21" s="1"/>
      <c r="Z21" s="1"/>
    </row>
    <row r="22" spans="1:26" ht="91.5" customHeight="1" x14ac:dyDescent="0.25">
      <c r="A22" s="18" t="s">
        <v>39</v>
      </c>
      <c r="B22" s="18" t="s">
        <v>39</v>
      </c>
      <c r="C22" s="18" t="s">
        <v>39</v>
      </c>
      <c r="D22" s="18" t="s">
        <v>39</v>
      </c>
      <c r="E22" s="18" t="s">
        <v>39</v>
      </c>
      <c r="F22" s="18" t="s">
        <v>39</v>
      </c>
      <c r="G22" s="18" t="s">
        <v>39</v>
      </c>
      <c r="H22" s="18" t="s">
        <v>39</v>
      </c>
      <c r="I22" s="18" t="s">
        <v>39</v>
      </c>
      <c r="J22" s="18" t="s">
        <v>39</v>
      </c>
      <c r="K22" s="18" t="s">
        <v>39</v>
      </c>
      <c r="L22" s="18" t="s">
        <v>39</v>
      </c>
      <c r="M22" s="18" t="s">
        <v>39</v>
      </c>
      <c r="N22" s="18" t="s">
        <v>39</v>
      </c>
      <c r="O22" s="18" t="s">
        <v>39</v>
      </c>
      <c r="P22" s="18" t="s">
        <v>39</v>
      </c>
      <c r="Q22" s="18" t="s">
        <v>39</v>
      </c>
      <c r="R22" s="18" t="s">
        <v>39</v>
      </c>
      <c r="S22" s="18" t="s">
        <v>39</v>
      </c>
      <c r="T22" s="18" t="s">
        <v>39</v>
      </c>
      <c r="U22" s="18" t="s">
        <v>39</v>
      </c>
      <c r="V22" s="18" t="s">
        <v>39</v>
      </c>
      <c r="W22" s="18" t="s">
        <v>39</v>
      </c>
      <c r="X22" s="1"/>
      <c r="Y22" s="1"/>
      <c r="Z22" s="1"/>
    </row>
    <row r="23" spans="1:26" ht="40.5" customHeight="1" x14ac:dyDescent="0.25">
      <c r="A23" s="38" t="s">
        <v>64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40"/>
      <c r="X23" s="1"/>
      <c r="Y23" s="1"/>
      <c r="Z23" s="1"/>
    </row>
    <row r="24" spans="1:26" ht="40.5" customHeight="1" x14ac:dyDescent="0.25">
      <c r="A24" s="41" t="s">
        <v>65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3"/>
      <c r="X24" s="1"/>
      <c r="Y24" s="1"/>
      <c r="Z24" s="1"/>
    </row>
    <row r="25" spans="1:26" ht="40.5" customHeight="1" x14ac:dyDescent="0.25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1"/>
      <c r="Y25" s="1"/>
      <c r="Z25" s="1"/>
    </row>
    <row r="26" spans="1:26" ht="40.5" customHeight="1" x14ac:dyDescent="0.25">
      <c r="A26" s="47" t="s">
        <v>66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9"/>
      <c r="X26" s="1"/>
      <c r="Y26" s="1"/>
      <c r="Z26" s="1"/>
    </row>
    <row r="27" spans="1:26" ht="36.75" customHeight="1" x14ac:dyDescent="0.25">
      <c r="A27" s="69" t="s">
        <v>67</v>
      </c>
      <c r="B27" s="43"/>
      <c r="C27" s="63" t="s">
        <v>68</v>
      </c>
      <c r="D27" s="39"/>
      <c r="E27" s="40"/>
      <c r="F27" s="63" t="s">
        <v>69</v>
      </c>
      <c r="G27" s="39"/>
      <c r="H27" s="39"/>
      <c r="I27" s="39"/>
      <c r="J27" s="40"/>
      <c r="K27" s="69" t="s">
        <v>33</v>
      </c>
      <c r="L27" s="43"/>
      <c r="M27" s="63" t="s">
        <v>68</v>
      </c>
      <c r="N27" s="40"/>
      <c r="O27" s="63" t="s">
        <v>69</v>
      </c>
      <c r="P27" s="39"/>
      <c r="Q27" s="40"/>
      <c r="R27" s="68" t="s">
        <v>70</v>
      </c>
      <c r="S27" s="63" t="s">
        <v>68</v>
      </c>
      <c r="T27" s="39"/>
      <c r="U27" s="40"/>
      <c r="V27" s="63" t="s">
        <v>69</v>
      </c>
      <c r="W27" s="40"/>
      <c r="X27" s="1"/>
      <c r="Y27" s="1"/>
      <c r="Z27" s="1"/>
    </row>
    <row r="28" spans="1:26" ht="54.75" customHeight="1" x14ac:dyDescent="0.25">
      <c r="A28" s="44"/>
      <c r="B28" s="46"/>
      <c r="C28" s="64" t="s">
        <v>71</v>
      </c>
      <c r="D28" s="39"/>
      <c r="E28" s="40"/>
      <c r="F28" s="65" t="s">
        <v>72</v>
      </c>
      <c r="G28" s="39"/>
      <c r="H28" s="39"/>
      <c r="I28" s="39"/>
      <c r="J28" s="40"/>
      <c r="K28" s="44"/>
      <c r="L28" s="46"/>
      <c r="M28" s="66" t="s">
        <v>73</v>
      </c>
      <c r="N28" s="40"/>
      <c r="O28" s="67" t="s">
        <v>74</v>
      </c>
      <c r="P28" s="39"/>
      <c r="Q28" s="40"/>
      <c r="R28" s="37"/>
      <c r="S28" s="66" t="s">
        <v>73</v>
      </c>
      <c r="T28" s="40"/>
      <c r="U28" s="67" t="s">
        <v>74</v>
      </c>
      <c r="V28" s="39"/>
      <c r="W28" s="40"/>
      <c r="X28" s="1"/>
      <c r="Y28" s="1"/>
      <c r="Z28" s="1"/>
    </row>
    <row r="29" spans="1:26" ht="33" customHeight="1" x14ac:dyDescent="0.25">
      <c r="A29" s="54" t="s">
        <v>75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40"/>
      <c r="X29" s="1"/>
      <c r="Y29" s="1"/>
      <c r="Z29" s="1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1"/>
      <c r="Y30" s="1"/>
      <c r="Z30" s="1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1"/>
      <c r="Y31" s="1"/>
      <c r="Z31" s="1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1"/>
      <c r="Y32" s="1"/>
      <c r="Z32" s="1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1"/>
      <c r="Y33" s="1"/>
      <c r="Z33" s="1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1"/>
      <c r="Y34" s="1"/>
      <c r="Z34" s="1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"/>
      <c r="Y35" s="1"/>
      <c r="Z35" s="1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"/>
      <c r="Y36" s="1"/>
      <c r="Z36" s="1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"/>
      <c r="Y37" s="1"/>
      <c r="Z37" s="1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"/>
      <c r="Y38" s="1"/>
      <c r="Z38" s="1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"/>
      <c r="Y39" s="1"/>
      <c r="Z39" s="1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"/>
      <c r="Y40" s="1"/>
      <c r="Z40" s="1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"/>
      <c r="Y41" s="1"/>
      <c r="Z41" s="1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"/>
      <c r="Y42" s="1"/>
      <c r="Z42" s="1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"/>
      <c r="Y43" s="1"/>
      <c r="Z43" s="1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1"/>
      <c r="Y44" s="1"/>
      <c r="Z44" s="1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"/>
      <c r="Y45" s="1"/>
      <c r="Z45" s="1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"/>
      <c r="Y46" s="1"/>
      <c r="Z46" s="1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"/>
      <c r="Y47" s="1"/>
      <c r="Z47" s="1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1"/>
      <c r="Y48" s="1"/>
      <c r="Z48" s="1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1"/>
      <c r="Y49" s="1"/>
      <c r="Z49" s="1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1"/>
      <c r="Y50" s="1"/>
      <c r="Z50" s="1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1"/>
      <c r="Y51" s="1"/>
      <c r="Z51" s="1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1"/>
      <c r="Y52" s="1"/>
      <c r="Z52" s="1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1"/>
      <c r="Y53" s="1"/>
      <c r="Z53" s="1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1"/>
      <c r="Y54" s="1"/>
      <c r="Z54" s="1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1"/>
      <c r="Y55" s="1"/>
      <c r="Z55" s="1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1"/>
      <c r="Y56" s="1"/>
      <c r="Z56" s="1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1"/>
      <c r="Y57" s="1"/>
      <c r="Z57" s="1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1"/>
      <c r="Y58" s="1"/>
      <c r="Z58" s="1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1"/>
      <c r="Y59" s="1"/>
      <c r="Z59" s="1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1"/>
      <c r="Y60" s="1"/>
      <c r="Z60" s="1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1"/>
      <c r="Y61" s="1"/>
      <c r="Z61" s="1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1"/>
      <c r="Y62" s="1"/>
      <c r="Z62" s="1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"/>
      <c r="Y63" s="1"/>
      <c r="Z63" s="1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1"/>
      <c r="Y64" s="1"/>
      <c r="Z64" s="1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1"/>
      <c r="Y65" s="1"/>
      <c r="Z65" s="1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1"/>
      <c r="Y66" s="1"/>
      <c r="Z66" s="1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1"/>
      <c r="Y67" s="1"/>
      <c r="Z67" s="1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1"/>
      <c r="Y68" s="1"/>
      <c r="Z68" s="1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1"/>
      <c r="Y69" s="1"/>
      <c r="Z69" s="1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1"/>
      <c r="Y70" s="1"/>
      <c r="Z70" s="1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1"/>
      <c r="Y71" s="1"/>
      <c r="Z71" s="1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1"/>
      <c r="Y72" s="1"/>
      <c r="Z72" s="1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1"/>
      <c r="Y73" s="1"/>
      <c r="Z73" s="1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1"/>
      <c r="Y74" s="1"/>
      <c r="Z74" s="1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1"/>
      <c r="Y75" s="1"/>
      <c r="Z75" s="1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1"/>
      <c r="Y76" s="1"/>
      <c r="Z76" s="1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1"/>
      <c r="Y77" s="1"/>
      <c r="Z77" s="1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1"/>
      <c r="Y78" s="1"/>
      <c r="Z78" s="1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1"/>
      <c r="Y79" s="1"/>
      <c r="Z79" s="1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"/>
      <c r="Y80" s="1"/>
      <c r="Z80" s="1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1"/>
      <c r="Y81" s="1"/>
      <c r="Z81" s="1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1"/>
      <c r="Y82" s="1"/>
      <c r="Z82" s="1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1"/>
      <c r="Y83" s="1"/>
      <c r="Z83" s="1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1"/>
      <c r="Y84" s="1"/>
      <c r="Z84" s="1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1"/>
      <c r="Y85" s="1"/>
      <c r="Z85" s="1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1"/>
      <c r="Y86" s="1"/>
      <c r="Z86" s="1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1"/>
      <c r="Y87" s="1"/>
      <c r="Z87" s="1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1"/>
      <c r="Y88" s="1"/>
      <c r="Z88" s="1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1"/>
      <c r="Y89" s="1"/>
      <c r="Z89" s="1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1"/>
      <c r="Y90" s="1"/>
      <c r="Z90" s="1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1"/>
      <c r="Y91" s="1"/>
      <c r="Z91" s="1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1"/>
      <c r="Y92" s="1"/>
      <c r="Z92" s="1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1"/>
      <c r="Y93" s="1"/>
      <c r="Z93" s="1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1"/>
      <c r="Y94" s="1"/>
      <c r="Z94" s="1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1"/>
      <c r="Y95" s="1"/>
      <c r="Z95" s="1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1"/>
      <c r="Y96" s="1"/>
      <c r="Z96" s="1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1"/>
      <c r="Y97" s="1"/>
      <c r="Z97" s="1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1"/>
      <c r="Y98" s="1"/>
      <c r="Z98" s="1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1"/>
      <c r="Y99" s="1"/>
      <c r="Z99" s="1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1"/>
      <c r="Y100" s="1"/>
      <c r="Z100" s="1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1"/>
      <c r="Y101" s="1"/>
      <c r="Z101" s="1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1"/>
      <c r="Y102" s="1"/>
      <c r="Z102" s="1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1"/>
      <c r="Y103" s="1"/>
      <c r="Z103" s="1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1"/>
      <c r="Y104" s="1"/>
      <c r="Z104" s="1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1"/>
      <c r="Y105" s="1"/>
      <c r="Z105" s="1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1"/>
      <c r="Y106" s="1"/>
      <c r="Z106" s="1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1"/>
      <c r="Y107" s="1"/>
      <c r="Z107" s="1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1"/>
      <c r="Y108" s="1"/>
      <c r="Z108" s="1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1"/>
      <c r="Y109" s="1"/>
      <c r="Z109" s="1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1"/>
      <c r="Y110" s="1"/>
      <c r="Z110" s="1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1"/>
      <c r="Y111" s="1"/>
      <c r="Z111" s="1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1"/>
      <c r="Y112" s="1"/>
      <c r="Z112" s="1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1"/>
      <c r="Y113" s="1"/>
      <c r="Z113" s="1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1"/>
      <c r="Y114" s="1"/>
      <c r="Z114" s="1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1"/>
      <c r="Y115" s="1"/>
      <c r="Z115" s="1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1"/>
      <c r="Y116" s="1"/>
      <c r="Z116" s="1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1"/>
      <c r="Y117" s="1"/>
      <c r="Z117" s="1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1"/>
      <c r="Y118" s="1"/>
      <c r="Z118" s="1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1"/>
      <c r="Y119" s="1"/>
      <c r="Z119" s="1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1"/>
      <c r="Y120" s="1"/>
      <c r="Z120" s="1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1"/>
      <c r="Y121" s="1"/>
      <c r="Z121" s="1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1"/>
      <c r="Y122" s="1"/>
      <c r="Z122" s="1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1"/>
      <c r="Y123" s="1"/>
      <c r="Z123" s="1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1"/>
      <c r="Y124" s="1"/>
      <c r="Z124" s="1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1"/>
      <c r="Y125" s="1"/>
      <c r="Z125" s="1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1"/>
      <c r="Y126" s="1"/>
      <c r="Z126" s="1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1"/>
      <c r="Y127" s="1"/>
      <c r="Z127" s="1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1"/>
      <c r="Y128" s="1"/>
      <c r="Z128" s="1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1"/>
      <c r="Y129" s="1"/>
      <c r="Z129" s="1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1"/>
      <c r="Y130" s="1"/>
      <c r="Z130" s="1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1"/>
      <c r="Y131" s="1"/>
      <c r="Z131" s="1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1"/>
      <c r="Y132" s="1"/>
      <c r="Z132" s="1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1"/>
      <c r="Y133" s="1"/>
      <c r="Z133" s="1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1"/>
      <c r="Y134" s="1"/>
      <c r="Z134" s="1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1"/>
      <c r="Y135" s="1"/>
      <c r="Z135" s="1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1"/>
      <c r="Y136" s="1"/>
      <c r="Z136" s="1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1"/>
      <c r="Y137" s="1"/>
      <c r="Z137" s="1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1"/>
      <c r="Y138" s="1"/>
      <c r="Z138" s="1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1"/>
      <c r="Y139" s="1"/>
      <c r="Z139" s="1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1"/>
      <c r="Y140" s="1"/>
      <c r="Z140" s="1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1"/>
      <c r="Y141" s="1"/>
      <c r="Z141" s="1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1"/>
      <c r="Y142" s="1"/>
      <c r="Z142" s="1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1"/>
      <c r="Y143" s="1"/>
      <c r="Z143" s="1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1"/>
      <c r="Y144" s="1"/>
      <c r="Z144" s="1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1"/>
      <c r="Y145" s="1"/>
      <c r="Z145" s="1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1"/>
      <c r="Y146" s="1"/>
      <c r="Z146" s="1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"/>
      <c r="Y147" s="1"/>
      <c r="Z147" s="1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1"/>
      <c r="Y148" s="1"/>
      <c r="Z148" s="1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1"/>
      <c r="Y149" s="1"/>
      <c r="Z149" s="1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1"/>
      <c r="Y150" s="1"/>
      <c r="Z150" s="1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"/>
      <c r="Y151" s="1"/>
      <c r="Z151" s="1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"/>
      <c r="Y152" s="1"/>
      <c r="Z152" s="1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"/>
      <c r="Y153" s="1"/>
      <c r="Z153" s="1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1"/>
      <c r="Y154" s="1"/>
      <c r="Z154" s="1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1"/>
      <c r="Y155" s="1"/>
      <c r="Z155" s="1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1"/>
      <c r="Y156" s="1"/>
      <c r="Z156" s="1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"/>
      <c r="Y157" s="1"/>
      <c r="Z157" s="1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1"/>
      <c r="Y158" s="1"/>
      <c r="Z158" s="1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"/>
      <c r="Y159" s="1"/>
      <c r="Z159" s="1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"/>
      <c r="Y160" s="1"/>
      <c r="Z160" s="1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1"/>
      <c r="Y161" s="1"/>
      <c r="Z161" s="1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1"/>
      <c r="Y162" s="1"/>
      <c r="Z162" s="1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1"/>
      <c r="Y163" s="1"/>
      <c r="Z163" s="1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1"/>
      <c r="Y164" s="1"/>
      <c r="Z164" s="1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"/>
      <c r="Y165" s="1"/>
      <c r="Z165" s="1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"/>
      <c r="Y166" s="1"/>
      <c r="Z166" s="1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1"/>
      <c r="Y167" s="1"/>
      <c r="Z167" s="1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"/>
      <c r="Y168" s="1"/>
      <c r="Z168" s="1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1"/>
      <c r="Y169" s="1"/>
      <c r="Z169" s="1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"/>
      <c r="Y170" s="1"/>
      <c r="Z170" s="1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"/>
      <c r="Y171" s="1"/>
      <c r="Z171" s="1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1"/>
      <c r="Y172" s="1"/>
      <c r="Z172" s="1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"/>
      <c r="Y173" s="1"/>
      <c r="Z173" s="1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"/>
      <c r="Y174" s="1"/>
      <c r="Z174" s="1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"/>
      <c r="Y175" s="1"/>
      <c r="Z175" s="1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1"/>
      <c r="Y176" s="1"/>
      <c r="Z176" s="1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"/>
      <c r="Y177" s="1"/>
      <c r="Z177" s="1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"/>
      <c r="Y178" s="1"/>
      <c r="Z178" s="1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"/>
      <c r="Y179" s="1"/>
      <c r="Z179" s="1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"/>
      <c r="Y180" s="1"/>
      <c r="Z180" s="1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1"/>
      <c r="Y181" s="1"/>
      <c r="Z181" s="1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"/>
      <c r="Y182" s="1"/>
      <c r="Z182" s="1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"/>
      <c r="Y183" s="1"/>
      <c r="Z183" s="1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"/>
      <c r="Y184" s="1"/>
      <c r="Z184" s="1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"/>
      <c r="Y185" s="1"/>
      <c r="Z185" s="1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"/>
      <c r="Y186" s="1"/>
      <c r="Z186" s="1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"/>
      <c r="Y187" s="1"/>
      <c r="Z187" s="1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1"/>
      <c r="Y188" s="1"/>
      <c r="Z188" s="1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"/>
      <c r="Y189" s="1"/>
      <c r="Z189" s="1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"/>
      <c r="Y190" s="1"/>
      <c r="Z190" s="1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1"/>
      <c r="Y191" s="1"/>
      <c r="Z191" s="1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1"/>
      <c r="Y192" s="1"/>
      <c r="Z192" s="1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"/>
      <c r="Y193" s="1"/>
      <c r="Z193" s="1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"/>
      <c r="Y194" s="1"/>
      <c r="Z194" s="1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"/>
      <c r="Y195" s="1"/>
      <c r="Z195" s="1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"/>
      <c r="Y196" s="1"/>
      <c r="Z196" s="1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1"/>
      <c r="Y197" s="1"/>
      <c r="Z197" s="1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1"/>
      <c r="Y198" s="1"/>
      <c r="Z198" s="1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1"/>
      <c r="Y199" s="1"/>
      <c r="Z199" s="1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1"/>
      <c r="Y200" s="1"/>
      <c r="Z200" s="1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"/>
      <c r="Y201" s="1"/>
      <c r="Z201" s="1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"/>
      <c r="Y202" s="1"/>
      <c r="Z202" s="1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1"/>
      <c r="Y203" s="1"/>
      <c r="Z203" s="1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1"/>
      <c r="Y204" s="1"/>
      <c r="Z204" s="1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"/>
      <c r="Y205" s="1"/>
      <c r="Z205" s="1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1"/>
      <c r="Y206" s="1"/>
      <c r="Z206" s="1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"/>
      <c r="Y207" s="1"/>
      <c r="Z207" s="1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"/>
      <c r="Y208" s="1"/>
      <c r="Z208" s="1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"/>
      <c r="Y209" s="1"/>
      <c r="Z209" s="1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1"/>
      <c r="Y210" s="1"/>
      <c r="Z210" s="1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"/>
      <c r="Y211" s="1"/>
      <c r="Z211" s="1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"/>
      <c r="Y212" s="1"/>
      <c r="Z212" s="1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1"/>
      <c r="Y213" s="1"/>
      <c r="Z213" s="1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"/>
      <c r="Y214" s="1"/>
      <c r="Z214" s="1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"/>
      <c r="Y215" s="1"/>
      <c r="Z215" s="1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"/>
      <c r="Y216" s="1"/>
      <c r="Z216" s="1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"/>
      <c r="Y217" s="1"/>
      <c r="Z217" s="1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"/>
      <c r="Y218" s="1"/>
      <c r="Z218" s="1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"/>
      <c r="Y219" s="1"/>
      <c r="Z219" s="1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"/>
      <c r="Y220" s="1"/>
      <c r="Z220" s="1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"/>
      <c r="Y221" s="1"/>
      <c r="Z221" s="1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"/>
      <c r="Y222" s="1"/>
      <c r="Z222" s="1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"/>
      <c r="Y223" s="1"/>
      <c r="Z223" s="1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"/>
      <c r="Y224" s="1"/>
      <c r="Z224" s="1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1"/>
      <c r="Y225" s="1"/>
      <c r="Z225" s="1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"/>
      <c r="Y226" s="1"/>
      <c r="Z226" s="1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"/>
      <c r="Y227" s="1"/>
      <c r="Z227" s="1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"/>
      <c r="Y228" s="1"/>
      <c r="Z228" s="1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"/>
      <c r="Y229" s="1"/>
      <c r="Z229" s="1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"/>
      <c r="Y230" s="1"/>
      <c r="Z230" s="1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"/>
      <c r="Y231" s="1"/>
      <c r="Z231" s="1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1"/>
      <c r="Y232" s="1"/>
      <c r="Z232" s="1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1"/>
      <c r="Y233" s="1"/>
      <c r="Z233" s="1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"/>
      <c r="Y234" s="1"/>
      <c r="Z234" s="1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1"/>
      <c r="Y235" s="1"/>
      <c r="Z235" s="1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1"/>
      <c r="Y236" s="1"/>
      <c r="Z236" s="1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"/>
      <c r="Y237" s="1"/>
      <c r="Z237" s="1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1"/>
      <c r="Y238" s="1"/>
      <c r="Z238" s="1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1"/>
      <c r="Y239" s="1"/>
      <c r="Z239" s="1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1"/>
      <c r="Y240" s="1"/>
      <c r="Z240" s="1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"/>
      <c r="Y241" s="1"/>
      <c r="Z241" s="1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"/>
      <c r="Y242" s="1"/>
      <c r="Z242" s="1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1"/>
      <c r="Y243" s="1"/>
      <c r="Z243" s="1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1"/>
      <c r="Y244" s="1"/>
      <c r="Z244" s="1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"/>
      <c r="Y245" s="1"/>
      <c r="Z245" s="1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"/>
      <c r="Y246" s="1"/>
      <c r="Z246" s="1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"/>
      <c r="Y247" s="1"/>
      <c r="Z247" s="1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"/>
      <c r="Y248" s="1"/>
      <c r="Z248" s="1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"/>
      <c r="Y249" s="1"/>
      <c r="Z249" s="1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"/>
      <c r="Y250" s="1"/>
      <c r="Z250" s="1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1"/>
      <c r="Y251" s="1"/>
      <c r="Z251" s="1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1"/>
      <c r="Y252" s="1"/>
      <c r="Z252" s="1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1"/>
      <c r="Y253" s="1"/>
      <c r="Z253" s="1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1"/>
      <c r="Y254" s="1"/>
      <c r="Z254" s="1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"/>
      <c r="Y255" s="1"/>
      <c r="Z255" s="1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1"/>
      <c r="Y256" s="1"/>
      <c r="Z256" s="1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5">
    <mergeCell ref="P11:P13"/>
    <mergeCell ref="Q11:Q13"/>
    <mergeCell ref="R11:R13"/>
    <mergeCell ref="A8:C8"/>
    <mergeCell ref="D8:F8"/>
    <mergeCell ref="A10:M10"/>
    <mergeCell ref="N10:Q10"/>
    <mergeCell ref="R10:U10"/>
    <mergeCell ref="A27:B28"/>
    <mergeCell ref="C27:E27"/>
    <mergeCell ref="F27:J27"/>
    <mergeCell ref="K27:L28"/>
    <mergeCell ref="M27:N27"/>
    <mergeCell ref="S27:U27"/>
    <mergeCell ref="V27:W27"/>
    <mergeCell ref="C28:E28"/>
    <mergeCell ref="F28:J28"/>
    <mergeCell ref="M28:N28"/>
    <mergeCell ref="O28:Q28"/>
    <mergeCell ref="S28:T28"/>
    <mergeCell ref="U28:W28"/>
    <mergeCell ref="O27:Q27"/>
    <mergeCell ref="R27:R28"/>
    <mergeCell ref="A29:W29"/>
    <mergeCell ref="A1:D5"/>
    <mergeCell ref="E1:S5"/>
    <mergeCell ref="T1:W1"/>
    <mergeCell ref="T2:W2"/>
    <mergeCell ref="T3:W4"/>
    <mergeCell ref="T5:W5"/>
    <mergeCell ref="A6:U7"/>
    <mergeCell ref="C11:C13"/>
    <mergeCell ref="D11:D13"/>
    <mergeCell ref="E11:E13"/>
    <mergeCell ref="F11:F13"/>
    <mergeCell ref="G11:I11"/>
    <mergeCell ref="J11:L11"/>
    <mergeCell ref="M11:M13"/>
    <mergeCell ref="V11:V13"/>
    <mergeCell ref="W11:W13"/>
    <mergeCell ref="A23:W23"/>
    <mergeCell ref="A24:W25"/>
    <mergeCell ref="A26:W26"/>
    <mergeCell ref="A11:A13"/>
    <mergeCell ref="U11:U13"/>
    <mergeCell ref="S11:S13"/>
    <mergeCell ref="T11:T13"/>
    <mergeCell ref="B11:B13"/>
    <mergeCell ref="G12:G13"/>
    <mergeCell ref="H12:I12"/>
    <mergeCell ref="J12:J13"/>
    <mergeCell ref="K12:K13"/>
    <mergeCell ref="L12:L13"/>
    <mergeCell ref="N11:N13"/>
    <mergeCell ref="O11:O13"/>
  </mergeCells>
  <printOptions verticalCentered="1"/>
  <pageMargins left="0.15748031496062992" right="7.874015748031496E-2" top="0.59055118110236227" bottom="0.39370078740157483" header="0" footer="0"/>
  <pageSetup scale="3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56" workbookViewId="0">
      <selection activeCell="A59" sqref="A59:B61"/>
    </sheetView>
  </sheetViews>
  <sheetFormatPr baseColWidth="10" defaultColWidth="14.42578125" defaultRowHeight="15" customHeight="1" x14ac:dyDescent="0.25"/>
  <cols>
    <col min="1" max="1" width="9" customWidth="1"/>
    <col min="2" max="2" width="11.42578125" customWidth="1"/>
    <col min="3" max="3" width="7.7109375" customWidth="1"/>
    <col min="4" max="4" width="9.42578125" customWidth="1"/>
    <col min="5" max="5" width="2.7109375" customWidth="1"/>
    <col min="6" max="6" width="11.5703125" customWidth="1"/>
    <col min="7" max="7" width="2.7109375" customWidth="1"/>
    <col min="8" max="8" width="11.5703125" customWidth="1"/>
    <col min="9" max="9" width="2.7109375" customWidth="1"/>
    <col min="10" max="10" width="11.5703125" customWidth="1"/>
    <col min="11" max="11" width="2.7109375" customWidth="1"/>
    <col min="12" max="12" width="11.5703125" customWidth="1"/>
    <col min="13" max="13" width="2.7109375" customWidth="1"/>
    <col min="14" max="14" width="11.5703125" customWidth="1"/>
    <col min="15" max="15" width="2.7109375" customWidth="1"/>
    <col min="16" max="16" width="11.5703125" customWidth="1"/>
    <col min="17" max="17" width="2.7109375" customWidth="1"/>
    <col min="18" max="18" width="11.5703125" customWidth="1"/>
    <col min="19" max="19" width="2.7109375" customWidth="1"/>
    <col min="20" max="20" width="11.5703125" customWidth="1"/>
    <col min="21" max="21" width="2.7109375" customWidth="1"/>
    <col min="22" max="22" width="11.5703125" customWidth="1"/>
  </cols>
  <sheetData>
    <row r="1" spans="1:26" ht="21.75" customHeight="1" x14ac:dyDescent="0.25">
      <c r="A1" s="84" t="s">
        <v>76</v>
      </c>
      <c r="B1" s="42"/>
      <c r="C1" s="42"/>
      <c r="D1" s="43"/>
      <c r="E1" s="83" t="s">
        <v>77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  <c r="S1" s="85" t="s">
        <v>78</v>
      </c>
      <c r="T1" s="39"/>
      <c r="U1" s="39"/>
      <c r="V1" s="40"/>
      <c r="W1" s="19"/>
      <c r="X1" s="19"/>
      <c r="Y1" s="19"/>
      <c r="Z1" s="19"/>
    </row>
    <row r="2" spans="1:26" ht="21.75" customHeight="1" x14ac:dyDescent="0.25">
      <c r="A2" s="56"/>
      <c r="B2" s="57"/>
      <c r="C2" s="57"/>
      <c r="D2" s="58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8"/>
      <c r="S2" s="85" t="s">
        <v>79</v>
      </c>
      <c r="T2" s="39"/>
      <c r="U2" s="39"/>
      <c r="V2" s="40"/>
      <c r="W2" s="19"/>
      <c r="X2" s="19"/>
      <c r="Y2" s="19"/>
      <c r="Z2" s="19"/>
    </row>
    <row r="3" spans="1:26" ht="30" customHeight="1" x14ac:dyDescent="0.25">
      <c r="A3" s="56"/>
      <c r="B3" s="57"/>
      <c r="C3" s="57"/>
      <c r="D3" s="58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  <c r="S3" s="86" t="s">
        <v>80</v>
      </c>
      <c r="T3" s="39"/>
      <c r="U3" s="39"/>
      <c r="V3" s="40"/>
      <c r="W3" s="19"/>
      <c r="X3" s="19"/>
      <c r="Y3" s="19"/>
      <c r="Z3" s="19"/>
    </row>
    <row r="4" spans="1:26" ht="21.75" customHeight="1" x14ac:dyDescent="0.25">
      <c r="A4" s="44"/>
      <c r="B4" s="45"/>
      <c r="C4" s="45"/>
      <c r="D4" s="46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  <c r="S4" s="85" t="s">
        <v>81</v>
      </c>
      <c r="T4" s="39"/>
      <c r="U4" s="39"/>
      <c r="V4" s="40"/>
      <c r="W4" s="19"/>
      <c r="X4" s="19"/>
      <c r="Y4" s="19"/>
      <c r="Z4" s="19"/>
    </row>
    <row r="5" spans="1:26" ht="9" customHeight="1" x14ac:dyDescent="0.25">
      <c r="A5" s="95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9"/>
      <c r="X5" s="19"/>
      <c r="Y5" s="19"/>
      <c r="Z5" s="19"/>
    </row>
    <row r="6" spans="1:26" ht="15.75" x14ac:dyDescent="0.25">
      <c r="A6" s="89" t="s">
        <v>82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19"/>
      <c r="X6" s="19"/>
      <c r="Y6" s="19"/>
      <c r="Z6" s="19"/>
    </row>
    <row r="7" spans="1:26" ht="18.75" customHeight="1" x14ac:dyDescent="0.25">
      <c r="A7" s="75" t="s">
        <v>83</v>
      </c>
      <c r="B7" s="39"/>
      <c r="C7" s="39"/>
      <c r="D7" s="39"/>
      <c r="E7" s="79">
        <f>E14:F14</f>
        <v>45323</v>
      </c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0"/>
      <c r="W7" s="19"/>
      <c r="X7" s="19"/>
      <c r="Y7" s="19"/>
      <c r="Z7" s="19"/>
    </row>
    <row r="8" spans="1:26" ht="18.75" customHeight="1" x14ac:dyDescent="0.25">
      <c r="A8" s="75" t="s">
        <v>84</v>
      </c>
      <c r="B8" s="39"/>
      <c r="C8" s="39"/>
      <c r="D8" s="39"/>
      <c r="E8" s="73" t="str">
        <f>+'PROGRAMACION SERVICIO AGUAS'!$C14</f>
        <v>AP</v>
      </c>
      <c r="F8" s="40"/>
      <c r="G8" s="73" t="str">
        <f>+'PROGRAMACION SERVICIO AGUAS'!$C15</f>
        <v>ASP</v>
      </c>
      <c r="H8" s="40"/>
      <c r="I8" s="73" t="str">
        <f>+'PROGRAMACION SERVICIO AGUAS'!$C16</f>
        <v>AP</v>
      </c>
      <c r="J8" s="40"/>
      <c r="K8" s="73" t="str">
        <f>+'PROGRAMACION SERVICIO AGUAS'!$C17</f>
        <v>AP</v>
      </c>
      <c r="L8" s="40"/>
      <c r="M8" s="73" t="str">
        <f>+'PROGRAMACION SERVICIO AGUAS'!$C18</f>
        <v>AP</v>
      </c>
      <c r="N8" s="40"/>
      <c r="O8" s="73" t="str">
        <f>+'PROGRAMACION SERVICIO AGUAS'!$C19</f>
        <v>AP</v>
      </c>
      <c r="P8" s="40"/>
      <c r="Q8" s="73" t="str">
        <f>+'PROGRAMACION SERVICIO AGUAS'!$C20</f>
        <v>-</v>
      </c>
      <c r="R8" s="40"/>
      <c r="S8" s="73" t="str">
        <f>+'PROGRAMACION SERVICIO AGUAS'!$C21</f>
        <v>-</v>
      </c>
      <c r="T8" s="40"/>
      <c r="U8" s="73" t="str">
        <f>+'PROGRAMACION SERVICIO AGUAS'!$C22</f>
        <v>-</v>
      </c>
      <c r="V8" s="40"/>
      <c r="W8" s="19"/>
      <c r="X8" s="19"/>
      <c r="Y8" s="19"/>
      <c r="Z8" s="19"/>
    </row>
    <row r="9" spans="1:26" ht="18.75" customHeight="1" x14ac:dyDescent="0.25">
      <c r="A9" s="94" t="s">
        <v>85</v>
      </c>
      <c r="B9" s="42"/>
      <c r="C9" s="43"/>
      <c r="D9" s="20" t="s">
        <v>33</v>
      </c>
      <c r="E9" s="93">
        <f>+'PROGRAMACION SERVICIO AGUAS'!$K14</f>
        <v>7.28</v>
      </c>
      <c r="F9" s="40"/>
      <c r="G9" s="93">
        <f>+'PROGRAMACION SERVICIO AGUAS'!$K15</f>
        <v>6.98</v>
      </c>
      <c r="H9" s="40"/>
      <c r="I9" s="93">
        <f>+'PROGRAMACION SERVICIO AGUAS'!$K16</f>
        <v>7.6</v>
      </c>
      <c r="J9" s="40"/>
      <c r="K9" s="93">
        <f>+'PROGRAMACION SERVICIO AGUAS'!$K17</f>
        <v>7.47</v>
      </c>
      <c r="L9" s="40"/>
      <c r="M9" s="93">
        <f>+'PROGRAMACION SERVICIO AGUAS'!$K18</f>
        <v>7.61</v>
      </c>
      <c r="N9" s="40"/>
      <c r="O9" s="93">
        <f>+'PROGRAMACION SERVICIO AGUAS'!$K19</f>
        <v>7.65</v>
      </c>
      <c r="P9" s="40"/>
      <c r="Q9" s="93" t="str">
        <f>+'PROGRAMACION SERVICIO AGUAS'!$K20</f>
        <v>-</v>
      </c>
      <c r="R9" s="40"/>
      <c r="S9" s="93" t="str">
        <f>+'PROGRAMACION SERVICIO AGUAS'!$K21</f>
        <v>-</v>
      </c>
      <c r="T9" s="40"/>
      <c r="U9" s="93" t="str">
        <f>+'PROGRAMACION SERVICIO AGUAS'!$K22</f>
        <v>-</v>
      </c>
      <c r="V9" s="40"/>
      <c r="W9" s="19"/>
      <c r="X9" s="19"/>
      <c r="Y9" s="19"/>
      <c r="Z9" s="19"/>
    </row>
    <row r="10" spans="1:26" ht="18.75" customHeight="1" x14ac:dyDescent="0.25">
      <c r="A10" s="44"/>
      <c r="B10" s="45"/>
      <c r="C10" s="46"/>
      <c r="D10" s="20" t="s">
        <v>86</v>
      </c>
      <c r="E10" s="93">
        <f>+'PROGRAMACION SERVICIO AGUAS'!J14</f>
        <v>1.65</v>
      </c>
      <c r="F10" s="40"/>
      <c r="G10" s="93" t="str">
        <f>+'PROGRAMACION SERVICIO AGUAS'!J15</f>
        <v>-</v>
      </c>
      <c r="H10" s="40"/>
      <c r="I10" s="93">
        <f>+'PROGRAMACION SERVICIO AGUAS'!J16</f>
        <v>1</v>
      </c>
      <c r="J10" s="40"/>
      <c r="K10" s="93">
        <f>+'PROGRAMACION SERVICIO AGUAS'!J17</f>
        <v>0</v>
      </c>
      <c r="L10" s="40"/>
      <c r="M10" s="93">
        <f>+'PROGRAMACION SERVICIO AGUAS'!J18</f>
        <v>0.8</v>
      </c>
      <c r="N10" s="40"/>
      <c r="O10" s="93">
        <f>+'PROGRAMACION SERVICIO AGUAS'!J19</f>
        <v>1</v>
      </c>
      <c r="P10" s="40"/>
      <c r="Q10" s="93" t="str">
        <f>+'PROGRAMACION SERVICIO AGUAS'!J20</f>
        <v>-</v>
      </c>
      <c r="R10" s="40"/>
      <c r="S10" s="93" t="str">
        <f>+'PROGRAMACION SERVICIO AGUAS'!J21</f>
        <v>-</v>
      </c>
      <c r="T10" s="40"/>
      <c r="U10" s="93" t="str">
        <f>+'PROGRAMACION SERVICIO AGUAS'!J22</f>
        <v>-</v>
      </c>
      <c r="V10" s="40"/>
      <c r="W10" s="19"/>
      <c r="X10" s="19"/>
      <c r="Y10" s="19"/>
      <c r="Z10" s="19"/>
    </row>
    <row r="11" spans="1:26" ht="18.75" customHeight="1" x14ac:dyDescent="0.25">
      <c r="A11" s="90" t="s">
        <v>87</v>
      </c>
      <c r="B11" s="39"/>
      <c r="C11" s="39"/>
      <c r="D11" s="39"/>
      <c r="E11" s="91" t="str">
        <f>+'PROGRAMACION SERVICIO AGUAS'!$W14</f>
        <v>-</v>
      </c>
      <c r="F11" s="40"/>
      <c r="G11" s="91" t="str">
        <f>+'PROGRAMACION SERVICIO AGUAS'!$W15</f>
        <v>-</v>
      </c>
      <c r="H11" s="40"/>
      <c r="I11" s="92" t="str">
        <f>+'PROGRAMACION SERVICIO AGUAS'!$W16</f>
        <v>-</v>
      </c>
      <c r="J11" s="40"/>
      <c r="K11" s="91" t="str">
        <f>+'PROGRAMACION SERVICIO AGUAS'!$W17</f>
        <v>-</v>
      </c>
      <c r="L11" s="40"/>
      <c r="M11" s="92" t="str">
        <f>+'PROGRAMACION SERVICIO AGUAS'!$W18</f>
        <v>-</v>
      </c>
      <c r="N11" s="40"/>
      <c r="O11" s="91" t="str">
        <f>+'PROGRAMACION SERVICIO AGUAS'!$W19</f>
        <v>-</v>
      </c>
      <c r="P11" s="40"/>
      <c r="Q11" s="91" t="str">
        <f>+'PROGRAMACION SERVICIO AGUAS'!$W20</f>
        <v>-</v>
      </c>
      <c r="R11" s="40"/>
      <c r="S11" s="91" t="str">
        <f>+'PROGRAMACION SERVICIO AGUAS'!$W21</f>
        <v>-</v>
      </c>
      <c r="T11" s="40"/>
      <c r="U11" s="91" t="str">
        <f>+'PROGRAMACION SERVICIO AGUAS'!$W22</f>
        <v>-</v>
      </c>
      <c r="V11" s="40"/>
      <c r="W11" s="19"/>
      <c r="X11" s="19"/>
      <c r="Y11" s="19"/>
      <c r="Z11" s="19"/>
    </row>
    <row r="12" spans="1:26" ht="15.75" x14ac:dyDescent="0.25">
      <c r="A12" s="89" t="s">
        <v>88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19"/>
      <c r="X12" s="19"/>
      <c r="Y12" s="19"/>
      <c r="Z12" s="19"/>
    </row>
    <row r="13" spans="1:26" ht="18.75" customHeight="1" x14ac:dyDescent="0.25">
      <c r="A13" s="75" t="s">
        <v>89</v>
      </c>
      <c r="B13" s="39"/>
      <c r="C13" s="39"/>
      <c r="D13" s="39"/>
      <c r="E13" s="79" t="str">
        <f>+'PROGRAMACION SERVICIO AGUAS'!$A14</f>
        <v>I24-083</v>
      </c>
      <c r="F13" s="40"/>
      <c r="G13" s="79" t="str">
        <f>+'PROGRAMACION SERVICIO AGUAS'!$A15</f>
        <v>I24-084</v>
      </c>
      <c r="H13" s="40"/>
      <c r="I13" s="79" t="str">
        <f>+'PROGRAMACION SERVICIO AGUAS'!$A16</f>
        <v>R24-02-001</v>
      </c>
      <c r="J13" s="40"/>
      <c r="K13" s="79" t="str">
        <f>+'PROGRAMACION SERVICIO AGUAS'!$A17</f>
        <v>R24-02-002</v>
      </c>
      <c r="L13" s="40"/>
      <c r="M13" s="79" t="str">
        <f>+'PROGRAMACION SERVICIO AGUAS'!$A18</f>
        <v>R24-02-003</v>
      </c>
      <c r="N13" s="40"/>
      <c r="O13" s="79" t="str">
        <f>+'PROGRAMACION SERVICIO AGUAS'!$A19</f>
        <v>R24-02-004</v>
      </c>
      <c r="P13" s="40"/>
      <c r="Q13" s="79" t="str">
        <f>+'PROGRAMACION SERVICIO AGUAS'!$A20</f>
        <v>-</v>
      </c>
      <c r="R13" s="40"/>
      <c r="S13" s="79" t="str">
        <f>+'PROGRAMACION SERVICIO AGUAS'!$A21</f>
        <v>-</v>
      </c>
      <c r="T13" s="40"/>
      <c r="U13" s="79" t="str">
        <f>+'PROGRAMACION SERVICIO AGUAS'!$A22</f>
        <v>-</v>
      </c>
      <c r="V13" s="40"/>
      <c r="W13" s="19"/>
      <c r="X13" s="19"/>
      <c r="Y13" s="19"/>
      <c r="Z13" s="19"/>
    </row>
    <row r="14" spans="1:26" ht="18.75" customHeight="1" x14ac:dyDescent="0.25">
      <c r="A14" s="75" t="s">
        <v>24</v>
      </c>
      <c r="B14" s="39"/>
      <c r="C14" s="39"/>
      <c r="D14" s="39"/>
      <c r="E14" s="79">
        <f>+'PROGRAMACION SERVICIO AGUAS'!R14</f>
        <v>45323</v>
      </c>
      <c r="F14" s="40"/>
      <c r="G14" s="79">
        <f>+'PROGRAMACION SERVICIO AGUAS'!$R15</f>
        <v>45323</v>
      </c>
      <c r="H14" s="40"/>
      <c r="I14" s="79">
        <f>+'PROGRAMACION SERVICIO AGUAS'!$R16</f>
        <v>45323</v>
      </c>
      <c r="J14" s="40"/>
      <c r="K14" s="79">
        <f>+'PROGRAMACION SERVICIO AGUAS'!$R17</f>
        <v>45323</v>
      </c>
      <c r="L14" s="40"/>
      <c r="M14" s="79">
        <f>+'PROGRAMACION SERVICIO AGUAS'!$R18</f>
        <v>45323</v>
      </c>
      <c r="N14" s="40"/>
      <c r="O14" s="79">
        <f>+'PROGRAMACION SERVICIO AGUAS'!$R19</f>
        <v>45323</v>
      </c>
      <c r="P14" s="40"/>
      <c r="Q14" s="79" t="str">
        <f>+'PROGRAMACION SERVICIO AGUAS'!$R20</f>
        <v>-</v>
      </c>
      <c r="R14" s="40"/>
      <c r="S14" s="79" t="str">
        <f>+'PROGRAMACION SERVICIO AGUAS'!$R21</f>
        <v>-</v>
      </c>
      <c r="T14" s="40"/>
      <c r="U14" s="79" t="str">
        <f>+'PROGRAMACION SERVICIO AGUAS'!$R22</f>
        <v>-</v>
      </c>
      <c r="V14" s="40"/>
      <c r="W14" s="19"/>
      <c r="X14" s="19"/>
      <c r="Y14" s="19"/>
      <c r="Z14" s="19"/>
    </row>
    <row r="15" spans="1:26" x14ac:dyDescent="0.25">
      <c r="A15" s="87" t="s">
        <v>90</v>
      </c>
      <c r="B15" s="40"/>
      <c r="C15" s="80" t="s">
        <v>91</v>
      </c>
      <c r="D15" s="40"/>
      <c r="E15" s="81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19"/>
      <c r="X15" s="19"/>
      <c r="Y15" s="19"/>
      <c r="Z15" s="19"/>
    </row>
    <row r="16" spans="1:26" ht="21.75" customHeight="1" x14ac:dyDescent="0.25">
      <c r="A16" s="78" t="s">
        <v>70</v>
      </c>
      <c r="B16" s="40"/>
      <c r="C16" s="78" t="s">
        <v>34</v>
      </c>
      <c r="D16" s="40"/>
      <c r="E16" s="21" t="s">
        <v>41</v>
      </c>
      <c r="F16" s="22">
        <v>18.8</v>
      </c>
      <c r="G16" s="21" t="s">
        <v>41</v>
      </c>
      <c r="H16" s="23">
        <v>18.5</v>
      </c>
      <c r="I16" s="21" t="s">
        <v>41</v>
      </c>
      <c r="J16" s="22">
        <v>18</v>
      </c>
      <c r="K16" s="21" t="s">
        <v>41</v>
      </c>
      <c r="L16" s="22">
        <v>20.9</v>
      </c>
      <c r="M16" s="21" t="s">
        <v>41</v>
      </c>
      <c r="N16" s="23">
        <v>19.7</v>
      </c>
      <c r="O16" s="21" t="s">
        <v>41</v>
      </c>
      <c r="P16" s="23">
        <v>21.2</v>
      </c>
      <c r="Q16" s="23"/>
      <c r="R16" s="23" t="s">
        <v>39</v>
      </c>
      <c r="S16" s="23"/>
      <c r="T16" s="23" t="s">
        <v>39</v>
      </c>
      <c r="U16" s="23"/>
      <c r="V16" s="23" t="s">
        <v>39</v>
      </c>
      <c r="W16" s="19"/>
      <c r="X16" s="19"/>
      <c r="Y16" s="19"/>
      <c r="Z16" s="19"/>
    </row>
    <row r="17" spans="1:26" ht="21.75" customHeight="1" x14ac:dyDescent="0.25">
      <c r="A17" s="78" t="s">
        <v>33</v>
      </c>
      <c r="B17" s="40"/>
      <c r="C17" s="78" t="s">
        <v>92</v>
      </c>
      <c r="D17" s="40"/>
      <c r="E17" s="21" t="s">
        <v>41</v>
      </c>
      <c r="F17" s="24">
        <f t="shared" ref="F17" si="0">+E9</f>
        <v>7.28</v>
      </c>
      <c r="G17" s="21" t="s">
        <v>41</v>
      </c>
      <c r="H17" s="24">
        <f t="shared" ref="H17:H18" si="1">+G9</f>
        <v>6.98</v>
      </c>
      <c r="I17" s="21" t="s">
        <v>41</v>
      </c>
      <c r="J17" s="24">
        <f t="shared" ref="J17:J18" si="2">+I9</f>
        <v>7.6</v>
      </c>
      <c r="K17" s="21" t="s">
        <v>41</v>
      </c>
      <c r="L17" s="24">
        <f t="shared" ref="L17:L18" si="3">+K9</f>
        <v>7.47</v>
      </c>
      <c r="M17" s="21" t="s">
        <v>41</v>
      </c>
      <c r="N17" s="24">
        <f t="shared" ref="N17:N18" si="4">+M9</f>
        <v>7.61</v>
      </c>
      <c r="O17" s="21" t="s">
        <v>41</v>
      </c>
      <c r="P17" s="24">
        <f t="shared" ref="P17:P18" si="5">+O9</f>
        <v>7.65</v>
      </c>
      <c r="Q17" s="25"/>
      <c r="R17" s="24" t="str">
        <f t="shared" ref="R17:R18" si="6">+Q9</f>
        <v>-</v>
      </c>
      <c r="S17" s="25"/>
      <c r="T17" s="24" t="str">
        <f t="shared" ref="T17:T18" si="7">+S9</f>
        <v>-</v>
      </c>
      <c r="U17" s="25"/>
      <c r="V17" s="24" t="str">
        <f t="shared" ref="V17:V18" si="8">+U9</f>
        <v>-</v>
      </c>
      <c r="W17" s="19"/>
      <c r="X17" s="19"/>
      <c r="Y17" s="19"/>
      <c r="Z17" s="19"/>
    </row>
    <row r="18" spans="1:26" ht="21.75" customHeight="1" x14ac:dyDescent="0.25">
      <c r="A18" s="78" t="s">
        <v>67</v>
      </c>
      <c r="B18" s="40"/>
      <c r="C18" s="78" t="s">
        <v>146</v>
      </c>
      <c r="D18" s="40"/>
      <c r="E18" s="21" t="s">
        <v>41</v>
      </c>
      <c r="F18" s="24">
        <f>+E10</f>
        <v>1.65</v>
      </c>
      <c r="G18" s="24"/>
      <c r="H18" s="24" t="str">
        <f t="shared" si="1"/>
        <v>-</v>
      </c>
      <c r="I18" s="21" t="s">
        <v>41</v>
      </c>
      <c r="J18" s="24">
        <f t="shared" si="2"/>
        <v>1</v>
      </c>
      <c r="K18" s="21" t="s">
        <v>41</v>
      </c>
      <c r="L18" s="24">
        <f t="shared" si="3"/>
        <v>0</v>
      </c>
      <c r="M18" s="21" t="s">
        <v>41</v>
      </c>
      <c r="N18" s="24">
        <f t="shared" si="4"/>
        <v>0.8</v>
      </c>
      <c r="O18" s="21" t="s">
        <v>41</v>
      </c>
      <c r="P18" s="24">
        <f t="shared" si="5"/>
        <v>1</v>
      </c>
      <c r="Q18" s="24"/>
      <c r="R18" s="24" t="str">
        <f t="shared" si="6"/>
        <v>-</v>
      </c>
      <c r="S18" s="24"/>
      <c r="T18" s="24" t="str">
        <f t="shared" si="7"/>
        <v>-</v>
      </c>
      <c r="U18" s="24"/>
      <c r="V18" s="24" t="str">
        <f t="shared" si="8"/>
        <v>-</v>
      </c>
      <c r="W18" s="19"/>
      <c r="X18" s="19"/>
      <c r="Y18" s="19"/>
      <c r="Z18" s="19"/>
    </row>
    <row r="19" spans="1:26" ht="21.75" customHeight="1" x14ac:dyDescent="0.25">
      <c r="A19" s="78" t="s">
        <v>93</v>
      </c>
      <c r="B19" s="40"/>
      <c r="C19" s="78" t="s">
        <v>147</v>
      </c>
      <c r="D19" s="40"/>
      <c r="E19" s="21" t="s">
        <v>41</v>
      </c>
      <c r="F19" s="22">
        <v>50</v>
      </c>
      <c r="G19" s="21" t="s">
        <v>41</v>
      </c>
      <c r="H19" s="22">
        <v>47.1</v>
      </c>
      <c r="I19" s="21" t="s">
        <v>41</v>
      </c>
      <c r="J19" s="22">
        <v>48.3</v>
      </c>
      <c r="K19" s="23"/>
      <c r="L19" s="22" t="s">
        <v>39</v>
      </c>
      <c r="M19" s="21" t="s">
        <v>41</v>
      </c>
      <c r="N19" s="22">
        <v>42.2</v>
      </c>
      <c r="O19" s="23"/>
      <c r="P19" s="22" t="s">
        <v>39</v>
      </c>
      <c r="Q19" s="23"/>
      <c r="R19" s="22" t="s">
        <v>39</v>
      </c>
      <c r="S19" s="23"/>
      <c r="T19" s="22" t="s">
        <v>39</v>
      </c>
      <c r="U19" s="23"/>
      <c r="V19" s="22" t="s">
        <v>39</v>
      </c>
      <c r="W19" s="19"/>
      <c r="X19" s="19"/>
      <c r="Y19" s="19"/>
      <c r="Z19" s="19"/>
    </row>
    <row r="20" spans="1:26" ht="21.75" customHeight="1" x14ac:dyDescent="0.25">
      <c r="A20" s="78" t="s">
        <v>94</v>
      </c>
      <c r="B20" s="40"/>
      <c r="C20" s="78" t="s">
        <v>95</v>
      </c>
      <c r="D20" s="40"/>
      <c r="E20" s="23"/>
      <c r="F20" s="24" t="s">
        <v>39</v>
      </c>
      <c r="G20" s="23"/>
      <c r="H20" s="24" t="s">
        <v>39</v>
      </c>
      <c r="I20" s="23"/>
      <c r="J20" s="24" t="s">
        <v>39</v>
      </c>
      <c r="K20" s="21" t="s">
        <v>41</v>
      </c>
      <c r="L20" s="24">
        <v>0.03</v>
      </c>
      <c r="M20" s="23"/>
      <c r="N20" s="24" t="s">
        <v>39</v>
      </c>
      <c r="O20" s="21" t="s">
        <v>41</v>
      </c>
      <c r="P20" s="24" t="s">
        <v>39</v>
      </c>
      <c r="Q20" s="23"/>
      <c r="R20" s="24" t="s">
        <v>39</v>
      </c>
      <c r="S20" s="23"/>
      <c r="T20" s="24" t="s">
        <v>39</v>
      </c>
      <c r="U20" s="23"/>
      <c r="V20" s="24" t="s">
        <v>39</v>
      </c>
      <c r="W20" s="19"/>
      <c r="X20" s="19"/>
      <c r="Y20" s="19"/>
      <c r="Z20" s="19"/>
    </row>
    <row r="21" spans="1:26" ht="21.75" customHeight="1" x14ac:dyDescent="0.25">
      <c r="A21" s="78" t="s">
        <v>96</v>
      </c>
      <c r="B21" s="40"/>
      <c r="C21" s="78" t="s">
        <v>97</v>
      </c>
      <c r="D21" s="40"/>
      <c r="E21" s="23"/>
      <c r="F21" s="23" t="s">
        <v>39</v>
      </c>
      <c r="G21" s="23"/>
      <c r="H21" s="23" t="s">
        <v>39</v>
      </c>
      <c r="I21" s="23"/>
      <c r="J21" s="23" t="s">
        <v>39</v>
      </c>
      <c r="K21" s="21" t="s">
        <v>41</v>
      </c>
      <c r="L21" s="24">
        <f t="array" ref="L21">+(14.58*4.0078)</f>
        <v>58.433723999999991</v>
      </c>
      <c r="M21" s="23"/>
      <c r="N21" s="23" t="s">
        <v>39</v>
      </c>
      <c r="O21" s="21" t="s">
        <v>41</v>
      </c>
      <c r="P21" s="24">
        <f t="array" ref="P21">+(4.71*4.0078)</f>
        <v>18.876738</v>
      </c>
      <c r="Q21" s="23"/>
      <c r="R21" s="24" t="s">
        <v>39</v>
      </c>
      <c r="S21" s="23"/>
      <c r="T21" s="24" t="s">
        <v>39</v>
      </c>
      <c r="U21" s="23"/>
      <c r="V21" s="24" t="s">
        <v>39</v>
      </c>
      <c r="W21" s="19"/>
      <c r="X21" s="19"/>
      <c r="Y21" s="19"/>
      <c r="Z21" s="19"/>
    </row>
    <row r="22" spans="1:26" ht="21.75" customHeight="1" x14ac:dyDescent="0.25">
      <c r="A22" s="78" t="s">
        <v>98</v>
      </c>
      <c r="B22" s="40"/>
      <c r="C22" s="78" t="s">
        <v>99</v>
      </c>
      <c r="D22" s="40"/>
      <c r="E22" s="23"/>
      <c r="F22" s="23" t="s">
        <v>39</v>
      </c>
      <c r="G22" s="23"/>
      <c r="H22" s="23" t="s">
        <v>39</v>
      </c>
      <c r="I22" s="21" t="s">
        <v>41</v>
      </c>
      <c r="J22" s="24">
        <f t="array" ref="J22">+(4.24-1.9)*4.8921</f>
        <v>11.447514000000002</v>
      </c>
      <c r="K22" s="23"/>
      <c r="L22" s="23" t="s">
        <v>39</v>
      </c>
      <c r="M22" s="21" t="s">
        <v>41</v>
      </c>
      <c r="N22" s="24">
        <f t="array" ref="N22">+(2.94-1.9)*4.8921</f>
        <v>5.0877840000000001</v>
      </c>
      <c r="O22" s="23"/>
      <c r="P22" s="23" t="s">
        <v>39</v>
      </c>
      <c r="Q22" s="23"/>
      <c r="R22" s="24" t="s">
        <v>39</v>
      </c>
      <c r="S22" s="23"/>
      <c r="T22" s="24" t="s">
        <v>39</v>
      </c>
      <c r="U22" s="23"/>
      <c r="V22" s="24" t="s">
        <v>39</v>
      </c>
      <c r="W22" s="19"/>
      <c r="X22" s="19"/>
      <c r="Y22" s="19"/>
      <c r="Z22" s="19"/>
    </row>
    <row r="23" spans="1:26" ht="21.75" customHeight="1" x14ac:dyDescent="0.25">
      <c r="A23" s="78" t="s">
        <v>100</v>
      </c>
      <c r="B23" s="40"/>
      <c r="C23" s="78" t="s">
        <v>101</v>
      </c>
      <c r="D23" s="40"/>
      <c r="E23" s="21" t="s">
        <v>41</v>
      </c>
      <c r="F23" s="22">
        <v>7.8</v>
      </c>
      <c r="G23" s="21" t="s">
        <v>41</v>
      </c>
      <c r="H23" s="22">
        <v>21.5</v>
      </c>
      <c r="I23" s="21" t="s">
        <v>41</v>
      </c>
      <c r="J23" s="22">
        <v>7.5</v>
      </c>
      <c r="K23" s="21" t="s">
        <v>41</v>
      </c>
      <c r="L23" s="22">
        <v>4.2</v>
      </c>
      <c r="M23" s="21" t="s">
        <v>41</v>
      </c>
      <c r="N23" s="22">
        <v>2.1</v>
      </c>
      <c r="O23" s="21" t="s">
        <v>41</v>
      </c>
      <c r="P23" s="22">
        <v>9.3000000000000007</v>
      </c>
      <c r="Q23" s="23"/>
      <c r="R23" s="24" t="s">
        <v>39</v>
      </c>
      <c r="S23" s="23"/>
      <c r="T23" s="24" t="s">
        <v>39</v>
      </c>
      <c r="U23" s="23"/>
      <c r="V23" s="24" t="s">
        <v>39</v>
      </c>
      <c r="W23" s="19"/>
      <c r="X23" s="19"/>
      <c r="Y23" s="19"/>
      <c r="Z23" s="19"/>
    </row>
    <row r="24" spans="1:26" ht="21.75" customHeight="1" x14ac:dyDescent="0.25">
      <c r="A24" s="78" t="s">
        <v>102</v>
      </c>
      <c r="B24" s="40"/>
      <c r="C24" s="78" t="s">
        <v>103</v>
      </c>
      <c r="D24" s="40"/>
      <c r="E24" s="21" t="s">
        <v>41</v>
      </c>
      <c r="F24" s="22">
        <v>130.80000000000001</v>
      </c>
      <c r="G24" s="21" t="s">
        <v>41</v>
      </c>
      <c r="H24" s="22">
        <v>108.5</v>
      </c>
      <c r="I24" s="21" t="s">
        <v>41</v>
      </c>
      <c r="J24" s="22">
        <v>122.6</v>
      </c>
      <c r="K24" s="21" t="s">
        <v>41</v>
      </c>
      <c r="L24" s="22">
        <v>329</v>
      </c>
      <c r="M24" s="21" t="s">
        <v>41</v>
      </c>
      <c r="N24" s="22">
        <v>114.9</v>
      </c>
      <c r="O24" s="21" t="s">
        <v>41</v>
      </c>
      <c r="P24" s="22">
        <v>140</v>
      </c>
      <c r="Q24" s="23"/>
      <c r="R24" s="24" t="s">
        <v>39</v>
      </c>
      <c r="S24" s="23"/>
      <c r="T24" s="24" t="s">
        <v>39</v>
      </c>
      <c r="U24" s="23"/>
      <c r="V24" s="24" t="s">
        <v>39</v>
      </c>
      <c r="W24" s="19"/>
      <c r="X24" s="19"/>
      <c r="Y24" s="19"/>
      <c r="Z24" s="19"/>
    </row>
    <row r="25" spans="1:26" ht="21.75" customHeight="1" x14ac:dyDescent="0.25">
      <c r="A25" s="78" t="s">
        <v>104</v>
      </c>
      <c r="B25" s="40"/>
      <c r="C25" s="78" t="s">
        <v>147</v>
      </c>
      <c r="D25" s="40"/>
      <c r="E25" s="21" t="s">
        <v>41</v>
      </c>
      <c r="F25" s="23">
        <v>59.5</v>
      </c>
      <c r="G25" s="21" t="s">
        <v>41</v>
      </c>
      <c r="H25" s="23">
        <v>46.4</v>
      </c>
      <c r="I25" s="23"/>
      <c r="J25" s="23" t="s">
        <v>39</v>
      </c>
      <c r="K25" s="21" t="s">
        <v>41</v>
      </c>
      <c r="L25" s="23">
        <v>160.5</v>
      </c>
      <c r="M25" s="23"/>
      <c r="N25" s="23" t="s">
        <v>39</v>
      </c>
      <c r="O25" s="21" t="s">
        <v>41</v>
      </c>
      <c r="P25" s="23">
        <v>56.7</v>
      </c>
      <c r="Q25" s="23"/>
      <c r="R25" s="24" t="s">
        <v>39</v>
      </c>
      <c r="S25" s="23"/>
      <c r="T25" s="24" t="s">
        <v>39</v>
      </c>
      <c r="U25" s="23"/>
      <c r="V25" s="24" t="s">
        <v>39</v>
      </c>
      <c r="W25" s="19"/>
      <c r="X25" s="19"/>
      <c r="Y25" s="19"/>
      <c r="Z25" s="19"/>
    </row>
    <row r="26" spans="1:26" ht="21.75" customHeight="1" x14ac:dyDescent="0.25">
      <c r="A26" s="78" t="s">
        <v>105</v>
      </c>
      <c r="B26" s="40"/>
      <c r="C26" s="78" t="s">
        <v>148</v>
      </c>
      <c r="D26" s="40"/>
      <c r="E26" s="23"/>
      <c r="F26" s="24" t="s">
        <v>39</v>
      </c>
      <c r="G26" s="23"/>
      <c r="H26" s="24" t="s">
        <v>39</v>
      </c>
      <c r="I26" s="21" t="s">
        <v>41</v>
      </c>
      <c r="J26" s="24">
        <v>0.05</v>
      </c>
      <c r="K26" s="23"/>
      <c r="L26" s="24" t="s">
        <v>39</v>
      </c>
      <c r="M26" s="21" t="s">
        <v>41</v>
      </c>
      <c r="N26" s="24">
        <v>0.03</v>
      </c>
      <c r="O26" s="23"/>
      <c r="P26" s="24" t="s">
        <v>39</v>
      </c>
      <c r="Q26" s="23"/>
      <c r="R26" s="24" t="s">
        <v>39</v>
      </c>
      <c r="S26" s="23"/>
      <c r="T26" s="24" t="s">
        <v>39</v>
      </c>
      <c r="U26" s="23"/>
      <c r="V26" s="24" t="s">
        <v>39</v>
      </c>
      <c r="W26" s="19"/>
      <c r="X26" s="19"/>
      <c r="Y26" s="19"/>
      <c r="Z26" s="19"/>
    </row>
    <row r="27" spans="1:26" ht="21.75" customHeight="1" x14ac:dyDescent="0.25">
      <c r="A27" s="78" t="s">
        <v>106</v>
      </c>
      <c r="B27" s="40"/>
      <c r="C27" s="78" t="s">
        <v>107</v>
      </c>
      <c r="D27" s="40"/>
      <c r="E27" s="21" t="s">
        <v>41</v>
      </c>
      <c r="F27" s="23">
        <v>0.25</v>
      </c>
      <c r="G27" s="21" t="s">
        <v>41</v>
      </c>
      <c r="H27" s="23">
        <v>0.85</v>
      </c>
      <c r="I27" s="23"/>
      <c r="J27" s="23" t="s">
        <v>39</v>
      </c>
      <c r="K27" s="21" t="s">
        <v>41</v>
      </c>
      <c r="L27" s="23">
        <v>0.28999999999999998</v>
      </c>
      <c r="M27" s="23"/>
      <c r="N27" s="23" t="s">
        <v>39</v>
      </c>
      <c r="O27" s="21" t="s">
        <v>41</v>
      </c>
      <c r="P27" s="23">
        <v>0.34</v>
      </c>
      <c r="Q27" s="23"/>
      <c r="R27" s="24" t="s">
        <v>39</v>
      </c>
      <c r="S27" s="23"/>
      <c r="T27" s="24" t="s">
        <v>39</v>
      </c>
      <c r="U27" s="23"/>
      <c r="V27" s="24" t="s">
        <v>39</v>
      </c>
      <c r="W27" s="19"/>
      <c r="X27" s="19"/>
      <c r="Y27" s="19"/>
      <c r="Z27" s="19"/>
    </row>
    <row r="28" spans="1:26" ht="21.75" customHeight="1" x14ac:dyDescent="0.25">
      <c r="A28" s="78" t="s">
        <v>108</v>
      </c>
      <c r="B28" s="40"/>
      <c r="C28" s="78" t="s">
        <v>109</v>
      </c>
      <c r="D28" s="40"/>
      <c r="E28" s="23"/>
      <c r="F28" s="23" t="s">
        <v>39</v>
      </c>
      <c r="G28" s="23"/>
      <c r="H28" s="23" t="s">
        <v>39</v>
      </c>
      <c r="I28" s="23"/>
      <c r="J28" s="23" t="s">
        <v>39</v>
      </c>
      <c r="K28" s="21" t="s">
        <v>41</v>
      </c>
      <c r="L28" s="24">
        <f>+(L25-(L21/4.0078)*10)*0.243</f>
        <v>3.5720999999999972</v>
      </c>
      <c r="M28" s="23"/>
      <c r="N28" s="23" t="s">
        <v>39</v>
      </c>
      <c r="O28" s="21" t="s">
        <v>41</v>
      </c>
      <c r="P28" s="24">
        <f>+(P25-(P21/4.0078)*10)*0.243</f>
        <v>2.3328000000000002</v>
      </c>
      <c r="Q28" s="23"/>
      <c r="R28" s="24" t="s">
        <v>39</v>
      </c>
      <c r="S28" s="23"/>
      <c r="T28" s="24" t="s">
        <v>39</v>
      </c>
      <c r="U28" s="23"/>
      <c r="V28" s="24" t="s">
        <v>39</v>
      </c>
      <c r="W28" s="19"/>
      <c r="X28" s="19"/>
      <c r="Y28" s="19"/>
      <c r="Z28" s="19"/>
    </row>
    <row r="29" spans="1:26" ht="21.75" customHeight="1" x14ac:dyDescent="0.25">
      <c r="A29" s="78" t="s">
        <v>110</v>
      </c>
      <c r="B29" s="40"/>
      <c r="C29" s="78" t="s">
        <v>149</v>
      </c>
      <c r="D29" s="40"/>
      <c r="E29" s="23"/>
      <c r="F29" s="23" t="s">
        <v>39</v>
      </c>
      <c r="G29" s="23"/>
      <c r="H29" s="23" t="s">
        <v>39</v>
      </c>
      <c r="I29" s="21" t="s">
        <v>41</v>
      </c>
      <c r="J29" s="24">
        <v>2.1000000000000001E-2</v>
      </c>
      <c r="K29" s="21"/>
      <c r="L29" s="24" t="s">
        <v>39</v>
      </c>
      <c r="M29" s="21" t="s">
        <v>41</v>
      </c>
      <c r="N29" s="24">
        <v>5.0999999999999997E-2</v>
      </c>
      <c r="O29" s="21"/>
      <c r="P29" s="24" t="s">
        <v>39</v>
      </c>
      <c r="Q29" s="23"/>
      <c r="R29" s="24" t="s">
        <v>39</v>
      </c>
      <c r="S29" s="23"/>
      <c r="T29" s="24" t="s">
        <v>39</v>
      </c>
      <c r="U29" s="23"/>
      <c r="V29" s="24" t="s">
        <v>39</v>
      </c>
      <c r="W29" s="19"/>
      <c r="X29" s="19"/>
      <c r="Y29" s="19"/>
      <c r="Z29" s="19"/>
    </row>
    <row r="30" spans="1:26" ht="21.75" customHeight="1" x14ac:dyDescent="0.25">
      <c r="A30" s="78" t="s">
        <v>111</v>
      </c>
      <c r="B30" s="40"/>
      <c r="C30" s="78" t="s">
        <v>112</v>
      </c>
      <c r="D30" s="40"/>
      <c r="E30" s="23"/>
      <c r="F30" s="23" t="s">
        <v>39</v>
      </c>
      <c r="G30" s="23"/>
      <c r="H30" s="23" t="s">
        <v>39</v>
      </c>
      <c r="I30" s="23"/>
      <c r="J30" s="23" t="s">
        <v>39</v>
      </c>
      <c r="K30" s="23"/>
      <c r="L30" s="23" t="s">
        <v>39</v>
      </c>
      <c r="M30" s="23"/>
      <c r="N30" s="23" t="s">
        <v>39</v>
      </c>
      <c r="O30" s="23"/>
      <c r="P30" s="23" t="s">
        <v>39</v>
      </c>
      <c r="Q30" s="23"/>
      <c r="R30" s="24" t="s">
        <v>39</v>
      </c>
      <c r="S30" s="23"/>
      <c r="T30" s="24" t="s">
        <v>39</v>
      </c>
      <c r="U30" s="23"/>
      <c r="V30" s="24" t="s">
        <v>39</v>
      </c>
      <c r="W30" s="19"/>
      <c r="X30" s="19"/>
      <c r="Y30" s="19"/>
      <c r="Z30" s="19"/>
    </row>
    <row r="31" spans="1:26" ht="21.75" customHeight="1" x14ac:dyDescent="0.25">
      <c r="A31" s="78" t="s">
        <v>113</v>
      </c>
      <c r="B31" s="40"/>
      <c r="C31" s="78" t="s">
        <v>150</v>
      </c>
      <c r="D31" s="40"/>
      <c r="E31" s="23"/>
      <c r="F31" s="23" t="s">
        <v>39</v>
      </c>
      <c r="G31" s="23"/>
      <c r="H31" s="23" t="s">
        <v>39</v>
      </c>
      <c r="I31" s="21" t="s">
        <v>41</v>
      </c>
      <c r="J31" s="24">
        <f t="array" ref="J31">((39.5+14.125)/4.2479)</f>
        <v>12.623884743049508</v>
      </c>
      <c r="K31" s="23"/>
      <c r="L31" s="23" t="s">
        <v>39</v>
      </c>
      <c r="M31" s="21" t="s">
        <v>41</v>
      </c>
      <c r="N31" s="24">
        <f t="array" ref="N31">((57.9+14.125)/4.2479)</f>
        <v>16.955436804067894</v>
      </c>
      <c r="O31" s="23"/>
      <c r="P31" s="23" t="s">
        <v>39</v>
      </c>
      <c r="Q31" s="23"/>
      <c r="R31" s="24" t="s">
        <v>39</v>
      </c>
      <c r="S31" s="23"/>
      <c r="T31" s="24" t="s">
        <v>39</v>
      </c>
      <c r="U31" s="23"/>
      <c r="V31" s="24" t="s">
        <v>39</v>
      </c>
      <c r="W31" s="19"/>
      <c r="X31" s="19"/>
      <c r="Y31" s="19"/>
      <c r="Z31" s="19"/>
    </row>
    <row r="32" spans="1:26" ht="21.75" customHeight="1" x14ac:dyDescent="0.25">
      <c r="A32" s="78" t="s">
        <v>114</v>
      </c>
      <c r="B32" s="40"/>
      <c r="C32" s="78" t="s">
        <v>115</v>
      </c>
      <c r="D32" s="40"/>
      <c r="E32" s="21" t="s">
        <v>41</v>
      </c>
      <c r="F32" s="24">
        <v>1.02</v>
      </c>
      <c r="G32" s="21" t="s">
        <v>41</v>
      </c>
      <c r="H32" s="24">
        <v>3.73</v>
      </c>
      <c r="I32" s="21" t="s">
        <v>41</v>
      </c>
      <c r="J32" s="24">
        <v>1.1000000000000001</v>
      </c>
      <c r="K32" s="21" t="s">
        <v>41</v>
      </c>
      <c r="L32" s="24">
        <v>1.2</v>
      </c>
      <c r="M32" s="21" t="s">
        <v>41</v>
      </c>
      <c r="N32" s="24">
        <v>0.51700000000000002</v>
      </c>
      <c r="O32" s="21" t="s">
        <v>41</v>
      </c>
      <c r="P32" s="24">
        <v>1.4</v>
      </c>
      <c r="Q32" s="23"/>
      <c r="R32" s="24" t="s">
        <v>39</v>
      </c>
      <c r="S32" s="23"/>
      <c r="T32" s="24" t="s">
        <v>39</v>
      </c>
      <c r="U32" s="23"/>
      <c r="V32" s="24" t="s">
        <v>39</v>
      </c>
      <c r="W32" s="19"/>
      <c r="X32" s="19"/>
      <c r="Y32" s="19"/>
      <c r="Z32" s="19"/>
    </row>
    <row r="33" spans="1:26" ht="50.25" customHeight="1" x14ac:dyDescent="0.25">
      <c r="A33" s="75" t="s">
        <v>116</v>
      </c>
      <c r="B33" s="39"/>
      <c r="C33" s="39"/>
      <c r="D33" s="39"/>
      <c r="E33" s="73" t="s">
        <v>39</v>
      </c>
      <c r="F33" s="40"/>
      <c r="G33" s="73" t="s">
        <v>39</v>
      </c>
      <c r="H33" s="40"/>
      <c r="I33" s="73" t="s">
        <v>39</v>
      </c>
      <c r="J33" s="40"/>
      <c r="K33" s="73" t="s">
        <v>39</v>
      </c>
      <c r="L33" s="40"/>
      <c r="M33" s="73" t="s">
        <v>39</v>
      </c>
      <c r="N33" s="40"/>
      <c r="O33" s="73" t="s">
        <v>39</v>
      </c>
      <c r="P33" s="40"/>
      <c r="Q33" s="73" t="s">
        <v>39</v>
      </c>
      <c r="R33" s="40"/>
      <c r="S33" s="73" t="s">
        <v>39</v>
      </c>
      <c r="T33" s="40"/>
      <c r="U33" s="73" t="s">
        <v>39</v>
      </c>
      <c r="V33" s="40"/>
      <c r="W33" s="19"/>
      <c r="X33" s="19"/>
      <c r="Y33" s="19"/>
      <c r="Z33" s="19"/>
    </row>
    <row r="34" spans="1:26" ht="21.75" customHeight="1" x14ac:dyDescent="0.25">
      <c r="A34" s="84" t="s">
        <v>76</v>
      </c>
      <c r="B34" s="42"/>
      <c r="C34" s="42"/>
      <c r="D34" s="43"/>
      <c r="E34" s="83" t="s">
        <v>77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3"/>
      <c r="S34" s="85" t="s">
        <v>117</v>
      </c>
      <c r="T34" s="39"/>
      <c r="U34" s="39"/>
      <c r="V34" s="40"/>
      <c r="W34" s="19"/>
      <c r="X34" s="19"/>
      <c r="Y34" s="19"/>
      <c r="Z34" s="19"/>
    </row>
    <row r="35" spans="1:26" ht="21.75" customHeight="1" x14ac:dyDescent="0.25">
      <c r="A35" s="56"/>
      <c r="B35" s="57"/>
      <c r="C35" s="57"/>
      <c r="D35" s="58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85" t="s">
        <v>118</v>
      </c>
      <c r="T35" s="39"/>
      <c r="U35" s="39"/>
      <c r="V35" s="40"/>
      <c r="W35" s="19"/>
      <c r="X35" s="19"/>
      <c r="Y35" s="19"/>
      <c r="Z35" s="19"/>
    </row>
    <row r="36" spans="1:26" ht="30" customHeight="1" x14ac:dyDescent="0.25">
      <c r="A36" s="56"/>
      <c r="B36" s="57"/>
      <c r="C36" s="57"/>
      <c r="D36" s="58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86" t="s">
        <v>119</v>
      </c>
      <c r="T36" s="39"/>
      <c r="U36" s="39"/>
      <c r="V36" s="40"/>
      <c r="W36" s="19"/>
      <c r="X36" s="19"/>
      <c r="Y36" s="19"/>
      <c r="Z36" s="19"/>
    </row>
    <row r="37" spans="1:26" ht="21.75" customHeight="1" x14ac:dyDescent="0.25">
      <c r="A37" s="44"/>
      <c r="B37" s="45"/>
      <c r="C37" s="45"/>
      <c r="D37" s="46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6"/>
      <c r="S37" s="85" t="s">
        <v>120</v>
      </c>
      <c r="T37" s="39"/>
      <c r="U37" s="39"/>
      <c r="V37" s="40"/>
      <c r="W37" s="19"/>
      <c r="X37" s="19"/>
      <c r="Y37" s="19"/>
      <c r="Z37" s="19"/>
    </row>
    <row r="38" spans="1:26" ht="9" customHeight="1" x14ac:dyDescent="0.25">
      <c r="A38" s="8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19"/>
      <c r="X38" s="19"/>
      <c r="Y38" s="19"/>
      <c r="Z38" s="19"/>
    </row>
    <row r="39" spans="1:26" ht="18.75" customHeight="1" x14ac:dyDescent="0.25">
      <c r="A39" s="75" t="s">
        <v>89</v>
      </c>
      <c r="B39" s="39"/>
      <c r="C39" s="39"/>
      <c r="D39" s="39"/>
      <c r="E39" s="82" t="s">
        <v>39</v>
      </c>
      <c r="F39" s="40"/>
      <c r="G39" s="82" t="s">
        <v>39</v>
      </c>
      <c r="H39" s="40"/>
      <c r="I39" s="82" t="s">
        <v>39</v>
      </c>
      <c r="J39" s="40"/>
      <c r="K39" s="82" t="s">
        <v>39</v>
      </c>
      <c r="L39" s="40"/>
      <c r="M39" s="82" t="s">
        <v>39</v>
      </c>
      <c r="N39" s="40"/>
      <c r="O39" s="82" t="s">
        <v>39</v>
      </c>
      <c r="P39" s="40"/>
      <c r="Q39" s="82" t="s">
        <v>39</v>
      </c>
      <c r="R39" s="40"/>
      <c r="S39" s="82" t="s">
        <v>39</v>
      </c>
      <c r="T39" s="40"/>
      <c r="U39" s="82" t="s">
        <v>39</v>
      </c>
      <c r="V39" s="40"/>
      <c r="W39" s="19"/>
      <c r="X39" s="19"/>
      <c r="Y39" s="19"/>
      <c r="Z39" s="19"/>
    </row>
    <row r="40" spans="1:26" ht="18.75" customHeight="1" x14ac:dyDescent="0.25">
      <c r="A40" s="75" t="s">
        <v>24</v>
      </c>
      <c r="B40" s="39"/>
      <c r="C40" s="39"/>
      <c r="D40" s="39"/>
      <c r="E40" s="82" t="s">
        <v>39</v>
      </c>
      <c r="F40" s="40"/>
      <c r="G40" s="82" t="s">
        <v>39</v>
      </c>
      <c r="H40" s="40"/>
      <c r="I40" s="82" t="s">
        <v>39</v>
      </c>
      <c r="J40" s="40"/>
      <c r="K40" s="82" t="s">
        <v>39</v>
      </c>
      <c r="L40" s="40"/>
      <c r="M40" s="82" t="s">
        <v>39</v>
      </c>
      <c r="N40" s="40"/>
      <c r="O40" s="82" t="s">
        <v>39</v>
      </c>
      <c r="P40" s="40"/>
      <c r="Q40" s="82" t="s">
        <v>39</v>
      </c>
      <c r="R40" s="40"/>
      <c r="S40" s="82" t="s">
        <v>39</v>
      </c>
      <c r="T40" s="40"/>
      <c r="U40" s="82" t="s">
        <v>39</v>
      </c>
      <c r="V40" s="40"/>
      <c r="W40" s="19"/>
      <c r="X40" s="19"/>
      <c r="Y40" s="19"/>
      <c r="Z40" s="19"/>
    </row>
    <row r="41" spans="1:26" ht="15.75" customHeight="1" x14ac:dyDescent="0.25">
      <c r="A41" s="80" t="s">
        <v>90</v>
      </c>
      <c r="B41" s="39"/>
      <c r="C41" s="80" t="s">
        <v>91</v>
      </c>
      <c r="D41" s="40"/>
      <c r="E41" s="81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40"/>
      <c r="W41" s="19"/>
      <c r="X41" s="19"/>
      <c r="Y41" s="19"/>
      <c r="Z41" s="19"/>
    </row>
    <row r="42" spans="1:26" ht="21.75" customHeight="1" x14ac:dyDescent="0.25">
      <c r="A42" s="78" t="s">
        <v>121</v>
      </c>
      <c r="B42" s="40"/>
      <c r="C42" s="78" t="s">
        <v>151</v>
      </c>
      <c r="D42" s="40"/>
      <c r="E42" s="26"/>
      <c r="F42" s="27" t="s">
        <v>39</v>
      </c>
      <c r="G42" s="26"/>
      <c r="H42" s="27" t="s">
        <v>39</v>
      </c>
      <c r="I42" s="26"/>
      <c r="J42" s="27" t="s">
        <v>39</v>
      </c>
      <c r="K42" s="26"/>
      <c r="L42" s="27" t="s">
        <v>39</v>
      </c>
      <c r="M42" s="26"/>
      <c r="N42" s="27" t="s">
        <v>39</v>
      </c>
      <c r="O42" s="26"/>
      <c r="P42" s="27" t="s">
        <v>39</v>
      </c>
      <c r="Q42" s="26"/>
      <c r="R42" s="27" t="s">
        <v>39</v>
      </c>
      <c r="S42" s="26"/>
      <c r="T42" s="27" t="s">
        <v>39</v>
      </c>
      <c r="U42" s="26"/>
      <c r="V42" s="27" t="s">
        <v>39</v>
      </c>
      <c r="W42" s="19"/>
      <c r="X42" s="19"/>
      <c r="Y42" s="19"/>
      <c r="Z42" s="19"/>
    </row>
    <row r="43" spans="1:26" ht="21.75" customHeight="1" x14ac:dyDescent="0.25">
      <c r="A43" s="78" t="s">
        <v>122</v>
      </c>
      <c r="B43" s="40"/>
      <c r="C43" s="78" t="s">
        <v>152</v>
      </c>
      <c r="D43" s="40"/>
      <c r="E43" s="26"/>
      <c r="F43" s="27" t="s">
        <v>39</v>
      </c>
      <c r="G43" s="26"/>
      <c r="H43" s="27" t="s">
        <v>39</v>
      </c>
      <c r="I43" s="26"/>
      <c r="J43" s="27" t="s">
        <v>39</v>
      </c>
      <c r="K43" s="26"/>
      <c r="L43" s="27" t="s">
        <v>39</v>
      </c>
      <c r="M43" s="26"/>
      <c r="N43" s="27" t="s">
        <v>39</v>
      </c>
      <c r="O43" s="26"/>
      <c r="P43" s="27" t="s">
        <v>39</v>
      </c>
      <c r="Q43" s="26"/>
      <c r="R43" s="27" t="s">
        <v>39</v>
      </c>
      <c r="S43" s="26"/>
      <c r="T43" s="27" t="s">
        <v>39</v>
      </c>
      <c r="U43" s="26"/>
      <c r="V43" s="27" t="s">
        <v>39</v>
      </c>
      <c r="W43" s="19"/>
      <c r="X43" s="19"/>
      <c r="Y43" s="19"/>
      <c r="Z43" s="19"/>
    </row>
    <row r="44" spans="1:26" ht="21.75" customHeight="1" x14ac:dyDescent="0.25">
      <c r="A44" s="78" t="s">
        <v>123</v>
      </c>
      <c r="B44" s="40"/>
      <c r="C44" s="78" t="s">
        <v>147</v>
      </c>
      <c r="D44" s="40"/>
      <c r="E44" s="26"/>
      <c r="F44" s="27" t="s">
        <v>39</v>
      </c>
      <c r="G44" s="26"/>
      <c r="H44" s="27" t="s">
        <v>39</v>
      </c>
      <c r="I44" s="26"/>
      <c r="J44" s="27" t="s">
        <v>39</v>
      </c>
      <c r="K44" s="26"/>
      <c r="L44" s="27" t="s">
        <v>39</v>
      </c>
      <c r="M44" s="26"/>
      <c r="N44" s="27" t="s">
        <v>39</v>
      </c>
      <c r="O44" s="26"/>
      <c r="P44" s="27" t="s">
        <v>39</v>
      </c>
      <c r="Q44" s="26"/>
      <c r="R44" s="27" t="s">
        <v>39</v>
      </c>
      <c r="S44" s="26"/>
      <c r="T44" s="27" t="s">
        <v>39</v>
      </c>
      <c r="U44" s="26"/>
      <c r="V44" s="27" t="s">
        <v>39</v>
      </c>
      <c r="W44" s="19"/>
      <c r="X44" s="19"/>
      <c r="Y44" s="19"/>
      <c r="Z44" s="19"/>
    </row>
    <row r="45" spans="1:26" ht="21.75" customHeight="1" x14ac:dyDescent="0.25">
      <c r="A45" s="78" t="s">
        <v>124</v>
      </c>
      <c r="B45" s="40"/>
      <c r="C45" s="78" t="s">
        <v>153</v>
      </c>
      <c r="D45" s="40"/>
      <c r="E45" s="26"/>
      <c r="F45" s="27" t="s">
        <v>39</v>
      </c>
      <c r="G45" s="26"/>
      <c r="H45" s="27" t="s">
        <v>39</v>
      </c>
      <c r="I45" s="26"/>
      <c r="J45" s="27" t="s">
        <v>39</v>
      </c>
      <c r="K45" s="26"/>
      <c r="L45" s="27" t="s">
        <v>39</v>
      </c>
      <c r="M45" s="26"/>
      <c r="N45" s="27" t="s">
        <v>39</v>
      </c>
      <c r="O45" s="26"/>
      <c r="P45" s="27" t="s">
        <v>39</v>
      </c>
      <c r="Q45" s="26"/>
      <c r="R45" s="27" t="s">
        <v>39</v>
      </c>
      <c r="S45" s="26"/>
      <c r="T45" s="27" t="s">
        <v>39</v>
      </c>
      <c r="U45" s="26"/>
      <c r="V45" s="27" t="s">
        <v>39</v>
      </c>
      <c r="W45" s="19"/>
      <c r="X45" s="19"/>
      <c r="Y45" s="19"/>
      <c r="Z45" s="19"/>
    </row>
    <row r="46" spans="1:26" ht="21.75" customHeight="1" x14ac:dyDescent="0.25">
      <c r="A46" s="78" t="s">
        <v>125</v>
      </c>
      <c r="B46" s="40"/>
      <c r="C46" s="78" t="s">
        <v>154</v>
      </c>
      <c r="D46" s="40"/>
      <c r="E46" s="26"/>
      <c r="F46" s="27" t="s">
        <v>39</v>
      </c>
      <c r="G46" s="26"/>
      <c r="H46" s="27" t="s">
        <v>39</v>
      </c>
      <c r="I46" s="26"/>
      <c r="J46" s="27" t="s">
        <v>39</v>
      </c>
      <c r="K46" s="26"/>
      <c r="L46" s="27" t="s">
        <v>39</v>
      </c>
      <c r="M46" s="26"/>
      <c r="N46" s="27" t="s">
        <v>39</v>
      </c>
      <c r="O46" s="26"/>
      <c r="P46" s="27" t="s">
        <v>39</v>
      </c>
      <c r="Q46" s="26"/>
      <c r="R46" s="27" t="s">
        <v>39</v>
      </c>
      <c r="S46" s="26"/>
      <c r="T46" s="27" t="s">
        <v>39</v>
      </c>
      <c r="U46" s="26"/>
      <c r="V46" s="27" t="s">
        <v>39</v>
      </c>
      <c r="W46" s="19"/>
      <c r="X46" s="19"/>
      <c r="Y46" s="19"/>
      <c r="Z46" s="19"/>
    </row>
    <row r="47" spans="1:26" ht="21.75" customHeight="1" x14ac:dyDescent="0.25">
      <c r="A47" s="78" t="s">
        <v>126</v>
      </c>
      <c r="B47" s="40"/>
      <c r="C47" s="78" t="s">
        <v>127</v>
      </c>
      <c r="D47" s="40"/>
      <c r="E47" s="26"/>
      <c r="F47" s="27" t="s">
        <v>39</v>
      </c>
      <c r="G47" s="26"/>
      <c r="H47" s="27" t="s">
        <v>39</v>
      </c>
      <c r="I47" s="26"/>
      <c r="J47" s="27" t="s">
        <v>39</v>
      </c>
      <c r="K47" s="26"/>
      <c r="L47" s="27" t="s">
        <v>39</v>
      </c>
      <c r="M47" s="26"/>
      <c r="N47" s="27" t="s">
        <v>39</v>
      </c>
      <c r="O47" s="26"/>
      <c r="P47" s="27" t="s">
        <v>39</v>
      </c>
      <c r="Q47" s="26"/>
      <c r="R47" s="27" t="s">
        <v>39</v>
      </c>
      <c r="S47" s="26"/>
      <c r="T47" s="27" t="s">
        <v>39</v>
      </c>
      <c r="U47" s="26"/>
      <c r="V47" s="27" t="s">
        <v>39</v>
      </c>
      <c r="W47" s="19"/>
      <c r="X47" s="19"/>
      <c r="Y47" s="19"/>
      <c r="Z47" s="19"/>
    </row>
    <row r="48" spans="1:26" ht="21.75" customHeight="1" x14ac:dyDescent="0.25">
      <c r="A48" s="78" t="s">
        <v>128</v>
      </c>
      <c r="B48" s="40"/>
      <c r="C48" s="78" t="s">
        <v>155</v>
      </c>
      <c r="D48" s="40"/>
      <c r="E48" s="26"/>
      <c r="F48" s="27" t="s">
        <v>39</v>
      </c>
      <c r="G48" s="26"/>
      <c r="H48" s="27" t="s">
        <v>39</v>
      </c>
      <c r="I48" s="26"/>
      <c r="J48" s="27" t="s">
        <v>39</v>
      </c>
      <c r="K48" s="26"/>
      <c r="L48" s="27" t="s">
        <v>39</v>
      </c>
      <c r="M48" s="26"/>
      <c r="N48" s="27" t="s">
        <v>39</v>
      </c>
      <c r="O48" s="26"/>
      <c r="P48" s="27" t="s">
        <v>39</v>
      </c>
      <c r="Q48" s="26"/>
      <c r="R48" s="27" t="s">
        <v>39</v>
      </c>
      <c r="S48" s="26"/>
      <c r="T48" s="27" t="s">
        <v>39</v>
      </c>
      <c r="U48" s="26"/>
      <c r="V48" s="27" t="s">
        <v>39</v>
      </c>
      <c r="W48" s="19"/>
      <c r="X48" s="19"/>
      <c r="Y48" s="19"/>
      <c r="Z48" s="19"/>
    </row>
    <row r="49" spans="1:26" ht="21.75" customHeight="1" x14ac:dyDescent="0.25">
      <c r="A49" s="78" t="s">
        <v>129</v>
      </c>
      <c r="B49" s="40"/>
      <c r="C49" s="78" t="s">
        <v>130</v>
      </c>
      <c r="D49" s="40"/>
      <c r="E49" s="26"/>
      <c r="F49" s="27" t="s">
        <v>39</v>
      </c>
      <c r="G49" s="26"/>
      <c r="H49" s="27" t="s">
        <v>39</v>
      </c>
      <c r="I49" s="26"/>
      <c r="J49" s="27" t="s">
        <v>39</v>
      </c>
      <c r="K49" s="26"/>
      <c r="L49" s="27" t="s">
        <v>39</v>
      </c>
      <c r="M49" s="26"/>
      <c r="N49" s="27" t="s">
        <v>39</v>
      </c>
      <c r="O49" s="26"/>
      <c r="P49" s="27" t="s">
        <v>39</v>
      </c>
      <c r="Q49" s="26"/>
      <c r="R49" s="27" t="s">
        <v>39</v>
      </c>
      <c r="S49" s="26"/>
      <c r="T49" s="27" t="s">
        <v>39</v>
      </c>
      <c r="U49" s="26"/>
      <c r="V49" s="27" t="s">
        <v>39</v>
      </c>
      <c r="W49" s="19"/>
      <c r="X49" s="19"/>
      <c r="Y49" s="19"/>
      <c r="Z49" s="19"/>
    </row>
    <row r="50" spans="1:26" ht="15.75" customHeight="1" x14ac:dyDescent="0.25">
      <c r="A50" s="77" t="s">
        <v>131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40"/>
      <c r="W50" s="19"/>
      <c r="X50" s="19"/>
      <c r="Y50" s="19"/>
      <c r="Z50" s="19"/>
    </row>
    <row r="51" spans="1:26" ht="18.75" customHeight="1" x14ac:dyDescent="0.25">
      <c r="A51" s="75" t="s">
        <v>89</v>
      </c>
      <c r="B51" s="39"/>
      <c r="C51" s="39"/>
      <c r="D51" s="39"/>
      <c r="E51" s="79" t="str">
        <f t="shared" ref="E51:E52" si="9">+E13</f>
        <v>I24-083</v>
      </c>
      <c r="F51" s="40"/>
      <c r="G51" s="73" t="s">
        <v>39</v>
      </c>
      <c r="H51" s="40"/>
      <c r="I51" s="79" t="str">
        <f t="shared" ref="I51:I52" si="10">+I13</f>
        <v>R24-02-001</v>
      </c>
      <c r="J51" s="40"/>
      <c r="K51" s="79" t="str">
        <f t="shared" ref="K51:K52" si="11">+K13</f>
        <v>R24-02-002</v>
      </c>
      <c r="L51" s="40"/>
      <c r="M51" s="79" t="str">
        <f t="shared" ref="M51:M52" si="12">+M13</f>
        <v>R24-02-003</v>
      </c>
      <c r="N51" s="40"/>
      <c r="O51" s="79" t="str">
        <f t="shared" ref="O51:O52" si="13">+O13</f>
        <v>R24-02-004</v>
      </c>
      <c r="P51" s="40"/>
      <c r="Q51" s="79" t="str">
        <f t="shared" ref="Q51:Q52" si="14">+Q13</f>
        <v>-</v>
      </c>
      <c r="R51" s="40"/>
      <c r="S51" s="79" t="str">
        <f t="shared" ref="S51:S52" si="15">+S13</f>
        <v>-</v>
      </c>
      <c r="T51" s="40"/>
      <c r="U51" s="79" t="str">
        <f t="shared" ref="U51:U52" si="16">+U13</f>
        <v>-</v>
      </c>
      <c r="V51" s="40"/>
      <c r="W51" s="19"/>
      <c r="X51" s="19"/>
      <c r="Y51" s="19"/>
      <c r="Z51" s="19"/>
    </row>
    <row r="52" spans="1:26" ht="18.75" customHeight="1" x14ac:dyDescent="0.25">
      <c r="A52" s="75" t="s">
        <v>132</v>
      </c>
      <c r="B52" s="39"/>
      <c r="C52" s="39"/>
      <c r="D52" s="39"/>
      <c r="E52" s="76">
        <f t="shared" si="9"/>
        <v>45323</v>
      </c>
      <c r="F52" s="40"/>
      <c r="G52" s="73" t="s">
        <v>39</v>
      </c>
      <c r="H52" s="40"/>
      <c r="I52" s="76">
        <f t="shared" si="10"/>
        <v>45323</v>
      </c>
      <c r="J52" s="40"/>
      <c r="K52" s="76">
        <f t="shared" si="11"/>
        <v>45323</v>
      </c>
      <c r="L52" s="40"/>
      <c r="M52" s="76">
        <f t="shared" si="12"/>
        <v>45323</v>
      </c>
      <c r="N52" s="40"/>
      <c r="O52" s="76">
        <f t="shared" si="13"/>
        <v>45323</v>
      </c>
      <c r="P52" s="40"/>
      <c r="Q52" s="76" t="str">
        <f t="shared" si="14"/>
        <v>-</v>
      </c>
      <c r="R52" s="40"/>
      <c r="S52" s="76" t="str">
        <f t="shared" si="15"/>
        <v>-</v>
      </c>
      <c r="T52" s="40"/>
      <c r="U52" s="76" t="str">
        <f t="shared" si="16"/>
        <v>-</v>
      </c>
      <c r="V52" s="40"/>
      <c r="W52" s="19"/>
      <c r="X52" s="19"/>
      <c r="Y52" s="19"/>
      <c r="Z52" s="19"/>
    </row>
    <row r="53" spans="1:26" ht="18.75" customHeight="1" x14ac:dyDescent="0.25">
      <c r="A53" s="75" t="s">
        <v>133</v>
      </c>
      <c r="B53" s="39"/>
      <c r="C53" s="39"/>
      <c r="D53" s="39"/>
      <c r="E53" s="73" t="s">
        <v>134</v>
      </c>
      <c r="F53" s="40"/>
      <c r="G53" s="73" t="s">
        <v>39</v>
      </c>
      <c r="H53" s="40"/>
      <c r="I53" s="73" t="s">
        <v>134</v>
      </c>
      <c r="J53" s="40"/>
      <c r="K53" s="73" t="s">
        <v>134</v>
      </c>
      <c r="L53" s="40"/>
      <c r="M53" s="73" t="s">
        <v>134</v>
      </c>
      <c r="N53" s="40"/>
      <c r="O53" s="73" t="s">
        <v>134</v>
      </c>
      <c r="P53" s="40"/>
      <c r="Q53" s="73" t="s">
        <v>39</v>
      </c>
      <c r="R53" s="40"/>
      <c r="S53" s="73" t="s">
        <v>39</v>
      </c>
      <c r="T53" s="40"/>
      <c r="U53" s="73" t="s">
        <v>39</v>
      </c>
      <c r="V53" s="40"/>
      <c r="W53" s="19"/>
      <c r="X53" s="19"/>
      <c r="Y53" s="19"/>
      <c r="Z53" s="19"/>
    </row>
    <row r="54" spans="1:26" ht="18.75" customHeight="1" x14ac:dyDescent="0.25">
      <c r="A54" s="94" t="s">
        <v>135</v>
      </c>
      <c r="B54" s="43"/>
      <c r="C54" s="80">
        <v>1</v>
      </c>
      <c r="D54" s="40"/>
      <c r="E54" s="99">
        <v>12.9</v>
      </c>
      <c r="F54" s="40"/>
      <c r="G54" s="99" t="s">
        <v>39</v>
      </c>
      <c r="H54" s="40"/>
      <c r="I54" s="99">
        <v>13.1</v>
      </c>
      <c r="J54" s="40"/>
      <c r="K54" s="99">
        <v>15.4</v>
      </c>
      <c r="L54" s="40"/>
      <c r="M54" s="99">
        <v>15.7</v>
      </c>
      <c r="N54" s="40"/>
      <c r="O54" s="99">
        <v>16.399999999999999</v>
      </c>
      <c r="P54" s="40"/>
      <c r="Q54" s="99" t="s">
        <v>39</v>
      </c>
      <c r="R54" s="40"/>
      <c r="S54" s="99" t="s">
        <v>39</v>
      </c>
      <c r="T54" s="40"/>
      <c r="U54" s="99" t="s">
        <v>39</v>
      </c>
      <c r="V54" s="40"/>
      <c r="W54" s="19"/>
      <c r="X54" s="19"/>
      <c r="Y54" s="19"/>
      <c r="Z54" s="19"/>
    </row>
    <row r="55" spans="1:26" ht="18.75" customHeight="1" x14ac:dyDescent="0.25">
      <c r="A55" s="44"/>
      <c r="B55" s="46"/>
      <c r="C55" s="80">
        <v>2</v>
      </c>
      <c r="D55" s="40"/>
      <c r="E55" s="73" t="s">
        <v>39</v>
      </c>
      <c r="F55" s="40"/>
      <c r="G55" s="73" t="s">
        <v>39</v>
      </c>
      <c r="H55" s="40"/>
      <c r="I55" s="73" t="s">
        <v>39</v>
      </c>
      <c r="J55" s="40"/>
      <c r="K55" s="73" t="s">
        <v>39</v>
      </c>
      <c r="L55" s="40"/>
      <c r="M55" s="73" t="s">
        <v>39</v>
      </c>
      <c r="N55" s="40"/>
      <c r="O55" s="73" t="s">
        <v>39</v>
      </c>
      <c r="P55" s="40"/>
      <c r="Q55" s="73" t="s">
        <v>39</v>
      </c>
      <c r="R55" s="40"/>
      <c r="S55" s="73" t="s">
        <v>39</v>
      </c>
      <c r="T55" s="40"/>
      <c r="U55" s="73" t="s">
        <v>39</v>
      </c>
      <c r="V55" s="40"/>
      <c r="W55" s="19"/>
      <c r="X55" s="19"/>
      <c r="Y55" s="19"/>
      <c r="Z55" s="19"/>
    </row>
    <row r="56" spans="1:26" ht="21.75" customHeight="1" x14ac:dyDescent="0.25">
      <c r="A56" s="96" t="s">
        <v>136</v>
      </c>
      <c r="B56" s="43"/>
      <c r="C56" s="97" t="s">
        <v>137</v>
      </c>
      <c r="D56" s="43"/>
      <c r="E56" s="21"/>
      <c r="F56" s="23">
        <v>3</v>
      </c>
      <c r="G56" s="21"/>
      <c r="H56" s="23" t="s">
        <v>39</v>
      </c>
      <c r="I56" s="21"/>
      <c r="J56" s="23">
        <v>0</v>
      </c>
      <c r="K56" s="21"/>
      <c r="L56" s="23">
        <v>0</v>
      </c>
      <c r="M56" s="21"/>
      <c r="N56" s="23">
        <v>0</v>
      </c>
      <c r="O56" s="21"/>
      <c r="P56" s="23">
        <v>0</v>
      </c>
      <c r="Q56" s="21"/>
      <c r="R56" s="23" t="s">
        <v>39</v>
      </c>
      <c r="S56" s="21"/>
      <c r="T56" s="23" t="s">
        <v>39</v>
      </c>
      <c r="U56" s="21"/>
      <c r="V56" s="23" t="s">
        <v>39</v>
      </c>
      <c r="W56" s="19"/>
      <c r="X56" s="19"/>
      <c r="Y56" s="19"/>
      <c r="Z56" s="19"/>
    </row>
    <row r="57" spans="1:26" ht="21.75" customHeight="1" x14ac:dyDescent="0.25">
      <c r="A57" s="56"/>
      <c r="B57" s="58"/>
      <c r="C57" s="44"/>
      <c r="D57" s="46"/>
      <c r="E57" s="21"/>
      <c r="F57" s="23" t="s">
        <v>39</v>
      </c>
      <c r="G57" s="21"/>
      <c r="H57" s="23" t="s">
        <v>39</v>
      </c>
      <c r="I57" s="21"/>
      <c r="J57" s="23" t="s">
        <v>39</v>
      </c>
      <c r="K57" s="21"/>
      <c r="L57" s="23" t="s">
        <v>39</v>
      </c>
      <c r="M57" s="21"/>
      <c r="N57" s="23" t="s">
        <v>39</v>
      </c>
      <c r="O57" s="21"/>
      <c r="P57" s="23" t="s">
        <v>39</v>
      </c>
      <c r="Q57" s="21"/>
      <c r="R57" s="23" t="s">
        <v>39</v>
      </c>
      <c r="S57" s="21"/>
      <c r="T57" s="23" t="s">
        <v>39</v>
      </c>
      <c r="U57" s="21"/>
      <c r="V57" s="23" t="s">
        <v>39</v>
      </c>
      <c r="W57" s="19"/>
      <c r="X57" s="19"/>
      <c r="Y57" s="19"/>
      <c r="Z57" s="19"/>
    </row>
    <row r="58" spans="1:26" ht="21.75" customHeight="1" x14ac:dyDescent="0.25">
      <c r="A58" s="44"/>
      <c r="B58" s="46"/>
      <c r="C58" s="78" t="s">
        <v>138</v>
      </c>
      <c r="D58" s="40"/>
      <c r="E58" s="98" t="s">
        <v>39</v>
      </c>
      <c r="F58" s="40"/>
      <c r="G58" s="98" t="s">
        <v>39</v>
      </c>
      <c r="H58" s="40"/>
      <c r="I58" s="98" t="s">
        <v>39</v>
      </c>
      <c r="J58" s="40"/>
      <c r="K58" s="98" t="s">
        <v>39</v>
      </c>
      <c r="L58" s="40"/>
      <c r="M58" s="98" t="s">
        <v>39</v>
      </c>
      <c r="N58" s="40"/>
      <c r="O58" s="98" t="s">
        <v>39</v>
      </c>
      <c r="P58" s="40"/>
      <c r="Q58" s="98" t="s">
        <v>39</v>
      </c>
      <c r="R58" s="40"/>
      <c r="S58" s="98" t="s">
        <v>39</v>
      </c>
      <c r="T58" s="40"/>
      <c r="U58" s="98" t="s">
        <v>39</v>
      </c>
      <c r="V58" s="40"/>
      <c r="W58" s="19"/>
      <c r="X58" s="19"/>
      <c r="Y58" s="19"/>
      <c r="Z58" s="19"/>
    </row>
    <row r="59" spans="1:26" ht="21.75" customHeight="1" x14ac:dyDescent="0.25">
      <c r="A59" s="100" t="s">
        <v>139</v>
      </c>
      <c r="B59" s="43"/>
      <c r="C59" s="97" t="s">
        <v>137</v>
      </c>
      <c r="D59" s="43"/>
      <c r="E59" s="21"/>
      <c r="F59" s="23">
        <v>0</v>
      </c>
      <c r="G59" s="21"/>
      <c r="H59" s="23" t="s">
        <v>39</v>
      </c>
      <c r="I59" s="21"/>
      <c r="J59" s="23">
        <v>0</v>
      </c>
      <c r="K59" s="21"/>
      <c r="L59" s="23">
        <v>0</v>
      </c>
      <c r="M59" s="21"/>
      <c r="N59" s="23">
        <v>0</v>
      </c>
      <c r="O59" s="21"/>
      <c r="P59" s="23">
        <v>0</v>
      </c>
      <c r="Q59" s="21"/>
      <c r="R59" s="23" t="s">
        <v>39</v>
      </c>
      <c r="S59" s="21"/>
      <c r="T59" s="23" t="s">
        <v>39</v>
      </c>
      <c r="U59" s="21"/>
      <c r="V59" s="23" t="s">
        <v>39</v>
      </c>
      <c r="W59" s="19"/>
      <c r="X59" s="19"/>
      <c r="Y59" s="19"/>
      <c r="Z59" s="19"/>
    </row>
    <row r="60" spans="1:26" ht="21.75" customHeight="1" x14ac:dyDescent="0.25">
      <c r="A60" s="56"/>
      <c r="B60" s="58"/>
      <c r="C60" s="44"/>
      <c r="D60" s="46"/>
      <c r="E60" s="21"/>
      <c r="F60" s="23" t="s">
        <v>39</v>
      </c>
      <c r="G60" s="21"/>
      <c r="H60" s="23" t="s">
        <v>39</v>
      </c>
      <c r="I60" s="21"/>
      <c r="J60" s="23" t="s">
        <v>39</v>
      </c>
      <c r="K60" s="21"/>
      <c r="L60" s="23" t="s">
        <v>39</v>
      </c>
      <c r="M60" s="21"/>
      <c r="N60" s="23" t="s">
        <v>39</v>
      </c>
      <c r="O60" s="21"/>
      <c r="P60" s="23" t="s">
        <v>39</v>
      </c>
      <c r="Q60" s="21"/>
      <c r="R60" s="23" t="s">
        <v>39</v>
      </c>
      <c r="S60" s="21"/>
      <c r="T60" s="23" t="s">
        <v>39</v>
      </c>
      <c r="U60" s="21"/>
      <c r="V60" s="23" t="s">
        <v>39</v>
      </c>
      <c r="W60" s="19"/>
      <c r="X60" s="19"/>
      <c r="Y60" s="19"/>
      <c r="Z60" s="19"/>
    </row>
    <row r="61" spans="1:26" ht="21.75" customHeight="1" x14ac:dyDescent="0.25">
      <c r="A61" s="44"/>
      <c r="B61" s="46"/>
      <c r="C61" s="78" t="s">
        <v>138</v>
      </c>
      <c r="D61" s="40"/>
      <c r="E61" s="73" t="s">
        <v>39</v>
      </c>
      <c r="F61" s="40"/>
      <c r="G61" s="73" t="s">
        <v>39</v>
      </c>
      <c r="H61" s="40"/>
      <c r="I61" s="73" t="s">
        <v>39</v>
      </c>
      <c r="J61" s="40"/>
      <c r="K61" s="73" t="s">
        <v>39</v>
      </c>
      <c r="L61" s="40"/>
      <c r="M61" s="73" t="s">
        <v>39</v>
      </c>
      <c r="N61" s="40"/>
      <c r="O61" s="73" t="s">
        <v>39</v>
      </c>
      <c r="P61" s="40"/>
      <c r="Q61" s="73" t="s">
        <v>39</v>
      </c>
      <c r="R61" s="40"/>
      <c r="S61" s="73" t="s">
        <v>39</v>
      </c>
      <c r="T61" s="40"/>
      <c r="U61" s="73" t="s">
        <v>39</v>
      </c>
      <c r="V61" s="40"/>
      <c r="W61" s="19"/>
      <c r="X61" s="19"/>
      <c r="Y61" s="19"/>
      <c r="Z61" s="19"/>
    </row>
    <row r="62" spans="1:26" ht="21.75" customHeight="1" x14ac:dyDescent="0.25">
      <c r="A62" s="96" t="s">
        <v>140</v>
      </c>
      <c r="B62" s="42"/>
      <c r="C62" s="97" t="s">
        <v>137</v>
      </c>
      <c r="D62" s="43"/>
      <c r="E62" s="21"/>
      <c r="F62" s="23" t="s">
        <v>39</v>
      </c>
      <c r="G62" s="21"/>
      <c r="H62" s="23" t="s">
        <v>39</v>
      </c>
      <c r="I62" s="21"/>
      <c r="J62" s="23" t="s">
        <v>39</v>
      </c>
      <c r="K62" s="21"/>
      <c r="L62" s="23" t="s">
        <v>39</v>
      </c>
      <c r="M62" s="21"/>
      <c r="N62" s="23" t="s">
        <v>39</v>
      </c>
      <c r="O62" s="21"/>
      <c r="P62" s="23" t="s">
        <v>39</v>
      </c>
      <c r="Q62" s="21"/>
      <c r="R62" s="23" t="s">
        <v>39</v>
      </c>
      <c r="S62" s="21"/>
      <c r="T62" s="23" t="s">
        <v>39</v>
      </c>
      <c r="U62" s="21"/>
      <c r="V62" s="23" t="s">
        <v>39</v>
      </c>
      <c r="W62" s="19"/>
      <c r="X62" s="19"/>
      <c r="Y62" s="19"/>
      <c r="Z62" s="19"/>
    </row>
    <row r="63" spans="1:26" ht="21.75" customHeight="1" x14ac:dyDescent="0.25">
      <c r="A63" s="56"/>
      <c r="B63" s="57"/>
      <c r="C63" s="44"/>
      <c r="D63" s="46"/>
      <c r="E63" s="21"/>
      <c r="F63" s="23" t="s">
        <v>39</v>
      </c>
      <c r="G63" s="21"/>
      <c r="H63" s="23" t="s">
        <v>39</v>
      </c>
      <c r="I63" s="21"/>
      <c r="J63" s="23" t="s">
        <v>39</v>
      </c>
      <c r="K63" s="21"/>
      <c r="L63" s="23" t="s">
        <v>39</v>
      </c>
      <c r="M63" s="21"/>
      <c r="N63" s="23" t="s">
        <v>39</v>
      </c>
      <c r="O63" s="21"/>
      <c r="P63" s="23" t="s">
        <v>39</v>
      </c>
      <c r="Q63" s="21"/>
      <c r="R63" s="23" t="s">
        <v>39</v>
      </c>
      <c r="S63" s="21"/>
      <c r="T63" s="23" t="s">
        <v>39</v>
      </c>
      <c r="U63" s="21"/>
      <c r="V63" s="23" t="s">
        <v>39</v>
      </c>
      <c r="W63" s="19"/>
      <c r="X63" s="19"/>
      <c r="Y63" s="19"/>
      <c r="Z63" s="19"/>
    </row>
    <row r="64" spans="1:26" ht="21.75" customHeight="1" x14ac:dyDescent="0.25">
      <c r="A64" s="44"/>
      <c r="B64" s="45"/>
      <c r="C64" s="78" t="s">
        <v>138</v>
      </c>
      <c r="D64" s="40"/>
      <c r="E64" s="73" t="s">
        <v>39</v>
      </c>
      <c r="F64" s="40"/>
      <c r="G64" s="73" t="s">
        <v>39</v>
      </c>
      <c r="H64" s="40"/>
      <c r="I64" s="73" t="s">
        <v>39</v>
      </c>
      <c r="J64" s="40"/>
      <c r="K64" s="73" t="s">
        <v>39</v>
      </c>
      <c r="L64" s="40"/>
      <c r="M64" s="73" t="s">
        <v>39</v>
      </c>
      <c r="N64" s="40"/>
      <c r="O64" s="73" t="s">
        <v>39</v>
      </c>
      <c r="P64" s="40"/>
      <c r="Q64" s="73" t="s">
        <v>39</v>
      </c>
      <c r="R64" s="40"/>
      <c r="S64" s="73" t="s">
        <v>39</v>
      </c>
      <c r="T64" s="40"/>
      <c r="U64" s="73" t="s">
        <v>39</v>
      </c>
      <c r="V64" s="40"/>
      <c r="W64" s="19"/>
      <c r="X64" s="19"/>
      <c r="Y64" s="19"/>
      <c r="Z64" s="19"/>
    </row>
    <row r="65" spans="1:26" ht="18.75" customHeight="1" x14ac:dyDescent="0.25">
      <c r="A65" s="75" t="s">
        <v>141</v>
      </c>
      <c r="B65" s="39"/>
      <c r="C65" s="39"/>
      <c r="D65" s="39"/>
      <c r="E65" s="76">
        <v>45324</v>
      </c>
      <c r="F65" s="40"/>
      <c r="G65" s="76" t="s">
        <v>39</v>
      </c>
      <c r="H65" s="40"/>
      <c r="I65" s="76">
        <v>45324</v>
      </c>
      <c r="J65" s="40"/>
      <c r="K65" s="76">
        <v>45324</v>
      </c>
      <c r="L65" s="40"/>
      <c r="M65" s="76">
        <v>45324</v>
      </c>
      <c r="N65" s="40"/>
      <c r="O65" s="76">
        <v>45324</v>
      </c>
      <c r="P65" s="40"/>
      <c r="Q65" s="76" t="s">
        <v>39</v>
      </c>
      <c r="R65" s="40"/>
      <c r="S65" s="76" t="s">
        <v>39</v>
      </c>
      <c r="T65" s="40"/>
      <c r="U65" s="76" t="s">
        <v>39</v>
      </c>
      <c r="V65" s="40"/>
      <c r="W65" s="19"/>
      <c r="X65" s="19"/>
      <c r="Y65" s="19"/>
      <c r="Z65" s="19"/>
    </row>
    <row r="66" spans="1:26" ht="18.75" customHeight="1" x14ac:dyDescent="0.25">
      <c r="A66" s="75" t="s">
        <v>142</v>
      </c>
      <c r="B66" s="39"/>
      <c r="C66" s="39"/>
      <c r="D66" s="39"/>
      <c r="E66" s="73" t="s">
        <v>143</v>
      </c>
      <c r="F66" s="40"/>
      <c r="G66" s="76" t="s">
        <v>39</v>
      </c>
      <c r="H66" s="40"/>
      <c r="I66" s="73" t="s">
        <v>143</v>
      </c>
      <c r="J66" s="40"/>
      <c r="K66" s="73" t="s">
        <v>143</v>
      </c>
      <c r="L66" s="40"/>
      <c r="M66" s="73" t="s">
        <v>143</v>
      </c>
      <c r="N66" s="40"/>
      <c r="O66" s="73" t="s">
        <v>143</v>
      </c>
      <c r="P66" s="40"/>
      <c r="Q66" s="76" t="s">
        <v>39</v>
      </c>
      <c r="R66" s="40"/>
      <c r="S66" s="76" t="s">
        <v>39</v>
      </c>
      <c r="T66" s="40"/>
      <c r="U66" s="76" t="s">
        <v>39</v>
      </c>
      <c r="V66" s="40"/>
      <c r="W66" s="19"/>
      <c r="X66" s="19"/>
      <c r="Y66" s="19"/>
      <c r="Z66" s="19"/>
    </row>
    <row r="67" spans="1:26" ht="39" customHeight="1" x14ac:dyDescent="0.25">
      <c r="A67" s="74" t="s">
        <v>116</v>
      </c>
      <c r="B67" s="39"/>
      <c r="C67" s="39"/>
      <c r="D67" s="39"/>
      <c r="E67" s="73" t="s">
        <v>39</v>
      </c>
      <c r="F67" s="40"/>
      <c r="G67" s="73" t="s">
        <v>39</v>
      </c>
      <c r="H67" s="40"/>
      <c r="I67" s="73" t="s">
        <v>39</v>
      </c>
      <c r="J67" s="40"/>
      <c r="K67" s="73" t="s">
        <v>39</v>
      </c>
      <c r="L67" s="40"/>
      <c r="M67" s="73" t="s">
        <v>39</v>
      </c>
      <c r="N67" s="40"/>
      <c r="O67" s="73" t="s">
        <v>39</v>
      </c>
      <c r="P67" s="40"/>
      <c r="Q67" s="73" t="s">
        <v>39</v>
      </c>
      <c r="R67" s="40"/>
      <c r="S67" s="73" t="s">
        <v>39</v>
      </c>
      <c r="T67" s="40"/>
      <c r="U67" s="73" t="s">
        <v>39</v>
      </c>
      <c r="V67" s="40"/>
      <c r="W67" s="19"/>
      <c r="X67" s="19"/>
      <c r="Y67" s="19"/>
      <c r="Z67" s="19"/>
    </row>
    <row r="68" spans="1:26" ht="23.25" customHeight="1" x14ac:dyDescent="0.25">
      <c r="A68" s="74" t="s">
        <v>144</v>
      </c>
      <c r="B68" s="39"/>
      <c r="C68" s="39"/>
      <c r="D68" s="39"/>
      <c r="E68" s="73" t="s">
        <v>39</v>
      </c>
      <c r="F68" s="40"/>
      <c r="G68" s="73" t="s">
        <v>39</v>
      </c>
      <c r="H68" s="40"/>
      <c r="I68" s="73" t="s">
        <v>39</v>
      </c>
      <c r="J68" s="40"/>
      <c r="K68" s="73" t="s">
        <v>39</v>
      </c>
      <c r="L68" s="40"/>
      <c r="M68" s="73" t="s">
        <v>39</v>
      </c>
      <c r="N68" s="40"/>
      <c r="O68" s="73" t="s">
        <v>39</v>
      </c>
      <c r="P68" s="40"/>
      <c r="Q68" s="73" t="s">
        <v>39</v>
      </c>
      <c r="R68" s="40"/>
      <c r="S68" s="73" t="s">
        <v>39</v>
      </c>
      <c r="T68" s="40"/>
      <c r="U68" s="73" t="s">
        <v>39</v>
      </c>
      <c r="V68" s="40"/>
      <c r="W68" s="19"/>
      <c r="X68" s="19"/>
      <c r="Y68" s="19"/>
      <c r="Z68" s="19"/>
    </row>
    <row r="69" spans="1:26" ht="23.25" customHeight="1" x14ac:dyDescent="0.25">
      <c r="A69" s="74" t="s">
        <v>145</v>
      </c>
      <c r="B69" s="39"/>
      <c r="C69" s="39"/>
      <c r="D69" s="39"/>
      <c r="E69" s="73" t="s">
        <v>39</v>
      </c>
      <c r="F69" s="40"/>
      <c r="G69" s="73" t="s">
        <v>39</v>
      </c>
      <c r="H69" s="40"/>
      <c r="I69" s="73" t="s">
        <v>39</v>
      </c>
      <c r="J69" s="40"/>
      <c r="K69" s="73" t="s">
        <v>39</v>
      </c>
      <c r="L69" s="40"/>
      <c r="M69" s="73" t="s">
        <v>39</v>
      </c>
      <c r="N69" s="40"/>
      <c r="O69" s="73" t="s">
        <v>39</v>
      </c>
      <c r="P69" s="40"/>
      <c r="Q69" s="73" t="s">
        <v>39</v>
      </c>
      <c r="R69" s="40"/>
      <c r="S69" s="73" t="s">
        <v>39</v>
      </c>
      <c r="T69" s="40"/>
      <c r="U69" s="73" t="s">
        <v>39</v>
      </c>
      <c r="V69" s="40"/>
      <c r="W69" s="19"/>
      <c r="X69" s="19"/>
      <c r="Y69" s="19"/>
      <c r="Z69" s="19"/>
    </row>
    <row r="70" spans="1:26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01">
    <mergeCell ref="O54:P54"/>
    <mergeCell ref="Q54:R54"/>
    <mergeCell ref="S54:T54"/>
    <mergeCell ref="U54:V54"/>
    <mergeCell ref="C55:D55"/>
    <mergeCell ref="E55:F55"/>
    <mergeCell ref="G55:H55"/>
    <mergeCell ref="I55:J55"/>
    <mergeCell ref="O55:P55"/>
    <mergeCell ref="Q55:R55"/>
    <mergeCell ref="S55:T55"/>
    <mergeCell ref="U55:V55"/>
    <mergeCell ref="A54:B55"/>
    <mergeCell ref="C54:D54"/>
    <mergeCell ref="E54:F54"/>
    <mergeCell ref="G54:H54"/>
    <mergeCell ref="I54:J54"/>
    <mergeCell ref="K54:L54"/>
    <mergeCell ref="M54:N54"/>
    <mergeCell ref="A59:B61"/>
    <mergeCell ref="I58:J58"/>
    <mergeCell ref="K58:L58"/>
    <mergeCell ref="C61:D61"/>
    <mergeCell ref="E61:F61"/>
    <mergeCell ref="K55:L55"/>
    <mergeCell ref="M55:N55"/>
    <mergeCell ref="M58:N58"/>
    <mergeCell ref="C58:D58"/>
    <mergeCell ref="A56:B58"/>
    <mergeCell ref="C56:D57"/>
    <mergeCell ref="E58:F58"/>
    <mergeCell ref="G58:H58"/>
    <mergeCell ref="Q58:R58"/>
    <mergeCell ref="S58:T58"/>
    <mergeCell ref="U64:V64"/>
    <mergeCell ref="I64:J64"/>
    <mergeCell ref="K64:L64"/>
    <mergeCell ref="M64:N64"/>
    <mergeCell ref="O64:P64"/>
    <mergeCell ref="U61:V61"/>
    <mergeCell ref="I61:J61"/>
    <mergeCell ref="K61:L61"/>
    <mergeCell ref="M61:N61"/>
    <mergeCell ref="O61:P61"/>
    <mergeCell ref="U58:V58"/>
    <mergeCell ref="O58:P58"/>
    <mergeCell ref="A62:B64"/>
    <mergeCell ref="C62:D63"/>
    <mergeCell ref="C64:D64"/>
    <mergeCell ref="E64:F64"/>
    <mergeCell ref="G64:H64"/>
    <mergeCell ref="C59:D60"/>
    <mergeCell ref="G61:H61"/>
    <mergeCell ref="Q61:R61"/>
    <mergeCell ref="S61:T61"/>
    <mergeCell ref="Q64:R64"/>
    <mergeCell ref="S64:T64"/>
    <mergeCell ref="Q65:R65"/>
    <mergeCell ref="S65:T65"/>
    <mergeCell ref="U65:V65"/>
    <mergeCell ref="A65:D65"/>
    <mergeCell ref="E65:F65"/>
    <mergeCell ref="G65:H65"/>
    <mergeCell ref="I65:J65"/>
    <mergeCell ref="K65:L65"/>
    <mergeCell ref="M65:N65"/>
    <mergeCell ref="O65:P65"/>
    <mergeCell ref="O67:P67"/>
    <mergeCell ref="Q66:R66"/>
    <mergeCell ref="S66:T66"/>
    <mergeCell ref="U66:V66"/>
    <mergeCell ref="A66:D66"/>
    <mergeCell ref="E66:F66"/>
    <mergeCell ref="G66:H66"/>
    <mergeCell ref="I66:J66"/>
    <mergeCell ref="K66:L66"/>
    <mergeCell ref="M66:N66"/>
    <mergeCell ref="O66:P66"/>
    <mergeCell ref="Q67:R67"/>
    <mergeCell ref="S67:T67"/>
    <mergeCell ref="U67:V67"/>
    <mergeCell ref="A67:D67"/>
    <mergeCell ref="E67:F67"/>
    <mergeCell ref="G67:H67"/>
    <mergeCell ref="I67:J67"/>
    <mergeCell ref="K67:L67"/>
    <mergeCell ref="M67:N67"/>
    <mergeCell ref="A1:D4"/>
    <mergeCell ref="A7:D7"/>
    <mergeCell ref="A8:D8"/>
    <mergeCell ref="G8:H8"/>
    <mergeCell ref="I8:J8"/>
    <mergeCell ref="K8:L8"/>
    <mergeCell ref="K9:L9"/>
    <mergeCell ref="E1:R4"/>
    <mergeCell ref="S1:V1"/>
    <mergeCell ref="S2:V2"/>
    <mergeCell ref="S3:V3"/>
    <mergeCell ref="S4:V4"/>
    <mergeCell ref="A5:V5"/>
    <mergeCell ref="A6:V6"/>
    <mergeCell ref="E7:V7"/>
    <mergeCell ref="M8:N8"/>
    <mergeCell ref="O8:P8"/>
    <mergeCell ref="Q8:R8"/>
    <mergeCell ref="S8:T8"/>
    <mergeCell ref="U8:V8"/>
    <mergeCell ref="E8:F8"/>
    <mergeCell ref="Q10:R10"/>
    <mergeCell ref="S10:T10"/>
    <mergeCell ref="U10:V10"/>
    <mergeCell ref="A9:C10"/>
    <mergeCell ref="E10:F10"/>
    <mergeCell ref="G10:H10"/>
    <mergeCell ref="I10:J10"/>
    <mergeCell ref="K10:L10"/>
    <mergeCell ref="M10:N10"/>
    <mergeCell ref="O10:P10"/>
    <mergeCell ref="E9:F9"/>
    <mergeCell ref="G9:H9"/>
    <mergeCell ref="I9:J9"/>
    <mergeCell ref="M9:N9"/>
    <mergeCell ref="O9:P9"/>
    <mergeCell ref="Q9:R9"/>
    <mergeCell ref="S9:T9"/>
    <mergeCell ref="U9:V9"/>
    <mergeCell ref="A12:V12"/>
    <mergeCell ref="O13:P13"/>
    <mergeCell ref="Q13:R13"/>
    <mergeCell ref="S13:T13"/>
    <mergeCell ref="U13:V13"/>
    <mergeCell ref="A11:D11"/>
    <mergeCell ref="A13:D13"/>
    <mergeCell ref="E13:F13"/>
    <mergeCell ref="G13:H13"/>
    <mergeCell ref="I13:J13"/>
    <mergeCell ref="K13:L13"/>
    <mergeCell ref="M13:N13"/>
    <mergeCell ref="Q11:R11"/>
    <mergeCell ref="S11:T11"/>
    <mergeCell ref="U11:V11"/>
    <mergeCell ref="E11:F11"/>
    <mergeCell ref="G11:H11"/>
    <mergeCell ref="I11:J11"/>
    <mergeCell ref="K11:L11"/>
    <mergeCell ref="M11:N11"/>
    <mergeCell ref="O11:P11"/>
    <mergeCell ref="Q14:R14"/>
    <mergeCell ref="S14:T14"/>
    <mergeCell ref="U14:V14"/>
    <mergeCell ref="A14:D14"/>
    <mergeCell ref="E14:F14"/>
    <mergeCell ref="G14:H14"/>
    <mergeCell ref="I14:J14"/>
    <mergeCell ref="K14:L14"/>
    <mergeCell ref="M14:N14"/>
    <mergeCell ref="O14:P14"/>
    <mergeCell ref="O33:P33"/>
    <mergeCell ref="Q33:R33"/>
    <mergeCell ref="A23:B23"/>
    <mergeCell ref="A24:B24"/>
    <mergeCell ref="A25:B25"/>
    <mergeCell ref="A26:B26"/>
    <mergeCell ref="A27:B27"/>
    <mergeCell ref="C23:D23"/>
    <mergeCell ref="C24:D24"/>
    <mergeCell ref="A15:B15"/>
    <mergeCell ref="C15:D15"/>
    <mergeCell ref="E15:V15"/>
    <mergeCell ref="A16:B16"/>
    <mergeCell ref="C16:D16"/>
    <mergeCell ref="A17:B17"/>
    <mergeCell ref="C17:D17"/>
    <mergeCell ref="A21:B21"/>
    <mergeCell ref="A22:B22"/>
    <mergeCell ref="C22:D22"/>
    <mergeCell ref="A18:B18"/>
    <mergeCell ref="C18:D18"/>
    <mergeCell ref="A19:B19"/>
    <mergeCell ref="C19:D19"/>
    <mergeCell ref="A20:B20"/>
    <mergeCell ref="C20:D20"/>
    <mergeCell ref="C21:D21"/>
    <mergeCell ref="C25:D25"/>
    <mergeCell ref="C26:D26"/>
    <mergeCell ref="C27:D27"/>
    <mergeCell ref="S33:T33"/>
    <mergeCell ref="E34:R37"/>
    <mergeCell ref="C28:D28"/>
    <mergeCell ref="C29:D29"/>
    <mergeCell ref="C30:D30"/>
    <mergeCell ref="C31:D31"/>
    <mergeCell ref="C32:D32"/>
    <mergeCell ref="A33:D33"/>
    <mergeCell ref="E33:F33"/>
    <mergeCell ref="G33:H33"/>
    <mergeCell ref="A34:D37"/>
    <mergeCell ref="S34:V34"/>
    <mergeCell ref="S35:V35"/>
    <mergeCell ref="S36:V36"/>
    <mergeCell ref="S37:V37"/>
    <mergeCell ref="U33:V33"/>
    <mergeCell ref="A28:B28"/>
    <mergeCell ref="A29:B29"/>
    <mergeCell ref="A30:B30"/>
    <mergeCell ref="A31:B31"/>
    <mergeCell ref="A32:B32"/>
    <mergeCell ref="I33:J33"/>
    <mergeCell ref="K33:L33"/>
    <mergeCell ref="M33:N33"/>
    <mergeCell ref="A39:D39"/>
    <mergeCell ref="Q40:R40"/>
    <mergeCell ref="S40:T40"/>
    <mergeCell ref="U40:V40"/>
    <mergeCell ref="A40:D40"/>
    <mergeCell ref="E40:F40"/>
    <mergeCell ref="G40:H40"/>
    <mergeCell ref="I40:J40"/>
    <mergeCell ref="K40:L40"/>
    <mergeCell ref="M40:N40"/>
    <mergeCell ref="O40:P40"/>
    <mergeCell ref="Q39:R39"/>
    <mergeCell ref="S39:T39"/>
    <mergeCell ref="A38:V38"/>
    <mergeCell ref="E39:F39"/>
    <mergeCell ref="G39:H39"/>
    <mergeCell ref="I39:J39"/>
    <mergeCell ref="K39:L39"/>
    <mergeCell ref="M39:N39"/>
    <mergeCell ref="O39:P39"/>
    <mergeCell ref="U39:V39"/>
    <mergeCell ref="A41:B41"/>
    <mergeCell ref="C41:D41"/>
    <mergeCell ref="E41:V41"/>
    <mergeCell ref="A42:B42"/>
    <mergeCell ref="C42:D42"/>
    <mergeCell ref="A43:B43"/>
    <mergeCell ref="C43:D43"/>
    <mergeCell ref="C48:D48"/>
    <mergeCell ref="C49:D49"/>
    <mergeCell ref="A50:V50"/>
    <mergeCell ref="A44:B44"/>
    <mergeCell ref="C44:D44"/>
    <mergeCell ref="A45:B45"/>
    <mergeCell ref="C45:D45"/>
    <mergeCell ref="A46:B46"/>
    <mergeCell ref="C46:D46"/>
    <mergeCell ref="C47:D47"/>
    <mergeCell ref="K51:L51"/>
    <mergeCell ref="M51:N51"/>
    <mergeCell ref="O51:P51"/>
    <mergeCell ref="Q51:R51"/>
    <mergeCell ref="S51:T51"/>
    <mergeCell ref="U51:V51"/>
    <mergeCell ref="A47:B47"/>
    <mergeCell ref="A48:B48"/>
    <mergeCell ref="A49:B49"/>
    <mergeCell ref="A51:D51"/>
    <mergeCell ref="E51:F51"/>
    <mergeCell ref="I51:J51"/>
    <mergeCell ref="G51:H51"/>
    <mergeCell ref="Q52:R52"/>
    <mergeCell ref="S52:T52"/>
    <mergeCell ref="U52:V52"/>
    <mergeCell ref="A52:D52"/>
    <mergeCell ref="E52:F52"/>
    <mergeCell ref="I52:J52"/>
    <mergeCell ref="K52:L52"/>
    <mergeCell ref="M52:N52"/>
    <mergeCell ref="O52:P52"/>
    <mergeCell ref="G52:H52"/>
    <mergeCell ref="Q53:R53"/>
    <mergeCell ref="S53:T53"/>
    <mergeCell ref="U53:V53"/>
    <mergeCell ref="A53:D53"/>
    <mergeCell ref="E53:F53"/>
    <mergeCell ref="I53:J53"/>
    <mergeCell ref="K53:L53"/>
    <mergeCell ref="M53:N53"/>
    <mergeCell ref="O53:P53"/>
    <mergeCell ref="G53:H53"/>
    <mergeCell ref="Q68:R68"/>
    <mergeCell ref="S68:T68"/>
    <mergeCell ref="U68:V68"/>
    <mergeCell ref="A68:D68"/>
    <mergeCell ref="E68:F68"/>
    <mergeCell ref="G68:H68"/>
    <mergeCell ref="I68:J68"/>
    <mergeCell ref="K68:L68"/>
    <mergeCell ref="M68:N68"/>
    <mergeCell ref="O68:P68"/>
    <mergeCell ref="Q69:R69"/>
    <mergeCell ref="S69:T69"/>
    <mergeCell ref="U69:V69"/>
    <mergeCell ref="A69:D69"/>
    <mergeCell ref="E69:F69"/>
    <mergeCell ref="G69:H69"/>
    <mergeCell ref="I69:J69"/>
    <mergeCell ref="K69:L69"/>
    <mergeCell ref="M69:N69"/>
    <mergeCell ref="O69:P69"/>
  </mergeCells>
  <printOptions horizontalCentered="1"/>
  <pageMargins left="0.19685039370078741" right="0.31496062992125984" top="0.15748031496062992" bottom="0.19685039370078741" header="0" footer="0"/>
  <pageSetup orientation="landscape"/>
  <rowBreaks count="1" manualBreakCount="1">
    <brk id="3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PROGRAMACION SERVICIO AGUAS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</dc:creator>
  <cp:lastModifiedBy>karen romero</cp:lastModifiedBy>
  <dcterms:created xsi:type="dcterms:W3CDTF">2022-12-06T13:27:51Z</dcterms:created>
  <dcterms:modified xsi:type="dcterms:W3CDTF">2025-09-17T04:17:56Z</dcterms:modified>
</cp:coreProperties>
</file>